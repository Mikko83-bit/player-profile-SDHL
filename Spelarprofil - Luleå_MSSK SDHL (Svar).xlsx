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ikko\Downloads\"/>
    </mc:Choice>
  </mc:AlternateContent>
  <xr:revisionPtr revIDLastSave="0" documentId="13_ncr:1_{DD1F3A07-0624-4578-A50F-D645D16C8498}" xr6:coauthVersionLast="47" xr6:coauthVersionMax="47" xr10:uidLastSave="{00000000-0000-0000-0000-000000000000}"/>
  <bookViews>
    <workbookView xWindow="-110" yWindow="-110" windowWidth="22620" windowHeight="13500" xr2:uid="{00000000-000D-0000-FFFF-FFFF00000000}"/>
  </bookViews>
  <sheets>
    <sheet name="Sdhl player profi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0" i="1" l="1"/>
  <c r="AX19" i="1"/>
  <c r="AX18" i="1"/>
  <c r="AX17" i="1"/>
  <c r="AX16" i="1"/>
  <c r="AX15" i="1"/>
  <c r="AX14" i="1"/>
  <c r="AZ13" i="1"/>
  <c r="AZ12" i="1"/>
  <c r="AZ11" i="1"/>
  <c r="AZ10" i="1"/>
  <c r="AZ9" i="1"/>
  <c r="AZ8" i="1"/>
  <c r="AZ7" i="1"/>
  <c r="AZ6" i="1"/>
  <c r="AZ5" i="1"/>
  <c r="AZ4" i="1"/>
  <c r="AZ3" i="1"/>
  <c r="AZ2" i="1"/>
</calcChain>
</file>

<file path=xl/sharedStrings.xml><?xml version="1.0" encoding="utf-8"?>
<sst xmlns="http://schemas.openxmlformats.org/spreadsheetml/2006/main" count="1297" uniqueCount="1236">
  <si>
    <t>Nummer?</t>
  </si>
  <si>
    <t>Hur är din skridskoåkning?</t>
  </si>
  <si>
    <t>Vad är du bra på?</t>
  </si>
  <si>
    <t>Vad behöver du utveckla?</t>
  </si>
  <si>
    <t>Hur är ditt skott?</t>
  </si>
  <si>
    <t>Vad är du bra på? 2</t>
  </si>
  <si>
    <t>Vad behöver du utveckla? 2</t>
  </si>
  <si>
    <t>Hur är din puckföring/puckkontroll?</t>
  </si>
  <si>
    <t>Vad är du bra på? 3</t>
  </si>
  <si>
    <t>Vad behöver du utveckla? 3</t>
  </si>
  <si>
    <t>Hur är din spelförstålse?</t>
  </si>
  <si>
    <t>Vad är du bra på? 4</t>
  </si>
  <si>
    <t>Vad behöver du utveckla? 4</t>
  </si>
  <si>
    <t>Hur är din kvalitet i passning/mottagning?</t>
  </si>
  <si>
    <t>Vad är du bra på? 5</t>
  </si>
  <si>
    <t>Vad behöver du utveckla? 5</t>
  </si>
  <si>
    <t>Hur är din kvalitet i försvarsspelet?</t>
  </si>
  <si>
    <t>Vad är du bra på? 6</t>
  </si>
  <si>
    <t>Vad behöver du utveckla? 6</t>
  </si>
  <si>
    <t>Hur är din kvalitet i anfallsspelet?</t>
  </si>
  <si>
    <t>Vad är jag bra på?</t>
  </si>
  <si>
    <t>Vad behöver du utveckla? 7</t>
  </si>
  <si>
    <t>Hur är din kvalitet i det fysiska spelet?</t>
  </si>
  <si>
    <t>Vad är jag bra på? 2</t>
  </si>
  <si>
    <t>Vad behöver du utveckla? 8</t>
  </si>
  <si>
    <t>Hur är din förståelse för spelsystemet?</t>
  </si>
  <si>
    <t>Vilka moment hanterar jag bra?</t>
  </si>
  <si>
    <t>Vilka moment behöver jag utveckla?</t>
  </si>
  <si>
    <t>Skriv ner 3 konkreta moment i spelet med puck</t>
  </si>
  <si>
    <t>Skriv ner 3 konkreta moment i spelet utan puck</t>
  </si>
  <si>
    <t>Hur är din arbetsmoral vid träning?</t>
  </si>
  <si>
    <t>Vad gör du bra?</t>
  </si>
  <si>
    <t>Vad behöver du utveckla? 9</t>
  </si>
  <si>
    <t>Hur är din arbetsmoral vid match?</t>
  </si>
  <si>
    <t>Vad gör du bra? 2</t>
  </si>
  <si>
    <t>Vad behöver du utveckla? 10</t>
  </si>
  <si>
    <t>Hur är dina förberedelser runt träning?</t>
  </si>
  <si>
    <t>Vad gör du bra? 3</t>
  </si>
  <si>
    <t>Vad behöver du utveckla? 11</t>
  </si>
  <si>
    <t>Hur är dina förberedelser runt match?</t>
  </si>
  <si>
    <t>Vad gör du bra? 4</t>
  </si>
  <si>
    <t>Vad behöver du utveckla? 12</t>
  </si>
  <si>
    <t>Hur hanterar du utmaningar vid träningar/matcher?</t>
  </si>
  <si>
    <t>Vad gör du bra? 5</t>
  </si>
  <si>
    <t>Vad behöver du utveckla? 13</t>
  </si>
  <si>
    <t>Hur mottaglig är du för feedback?</t>
  </si>
  <si>
    <t>Hur hanterar du feedback (negativ och positiv)?</t>
  </si>
  <si>
    <t>Vad är ditt mål med den här säsongen?</t>
  </si>
  <si>
    <t>Kolumn 49</t>
  </si>
  <si>
    <t>Player Profile URL</t>
  </si>
  <si>
    <t>Player Profile File ID</t>
  </si>
  <si>
    <t>Profile Updated</t>
  </si>
  <si>
    <t xml:space="preserve">Baklänges, övergångar </t>
  </si>
  <si>
    <t>Jag behöver utveckla acceleration, starter, fart</t>
  </si>
  <si>
    <t>Timing, precision, backskott</t>
  </si>
  <si>
    <t xml:space="preserve">Finns flera saker att utveckla men främst Quick release och onetimer </t>
  </si>
  <si>
    <t>Är ganska bra på att skydda puck</t>
  </si>
  <si>
    <t>Behöver utveckla finter, pucktouch</t>
  </si>
  <si>
    <t>Känner att jag tar ganska bra på beslutsfattandet, läsa spelet, spelsystem</t>
  </si>
  <si>
    <t xml:space="preserve">Kan absolut bli bättre på spelet utan puck och kommunikation speciellt i egen zon </t>
  </si>
  <si>
    <t>Jag tycker jag har bra mottagningar främst på forehand, bra blick</t>
  </si>
  <si>
    <t>Behöver utveckla backhand passningar samt skridskomottagning</t>
  </si>
  <si>
    <t xml:space="preserve">Har bra kropps- samt klubbplacering </t>
  </si>
  <si>
    <t>Behöver alltid utveckla gap control samt att boxa ut i egen zon</t>
  </si>
  <si>
    <t>Tycker jag har bra kommunikation när medspelare har puck, tycker att jag är ganska bra på att screena</t>
  </si>
  <si>
    <t xml:space="preserve">När jag har puck vill jag utveckla att våga, våga gå på attack osv </t>
  </si>
  <si>
    <t xml:space="preserve">Skydda puck, närkamper </t>
  </si>
  <si>
    <t xml:space="preserve">Behöver utveckla balans och boxa ut </t>
  </si>
  <si>
    <t xml:space="preserve">Egen zon </t>
  </si>
  <si>
    <t xml:space="preserve">Behöver även träna mer på egenzon, vet vart jag ska vara men måste bli bättre på att anpassa efter vad mina medspelare gör </t>
  </si>
  <si>
    <t xml:space="preserve">Fortsätta träna på spelet på blålinjen ink skott
Hantera backhand bättre 
Våga hålla i pucken och skapa yta </t>
  </si>
  <si>
    <t>Egenzon boxa ut 
Gap
Samt närkamper</t>
  </si>
  <si>
    <t>Jag är ofta positiv sen har jag bra grit</t>
  </si>
  <si>
    <t xml:space="preserve">Behöver utveckla kroppsspråket lite kan vara felbedömt ibland </t>
  </si>
  <si>
    <t xml:space="preserve">Vill alltid göra det bästa för mina lagkamrater det gäller även i båset där jag tycker att jag är positiv och stöttande </t>
  </si>
  <si>
    <t>Behöver utveckla kroppsspråket även där kan nog uppfattas mer chill än vad jag är</t>
  </si>
  <si>
    <t>Bra på uppvärmning, kost</t>
  </si>
  <si>
    <t xml:space="preserve">Behöver fokusera mer på nervarvning och få en mer jämn sömn </t>
  </si>
  <si>
    <t xml:space="preserve">Där är jag bättre på både sömn och nervarvning samt då kost och uppvärmning </t>
  </si>
  <si>
    <t xml:space="preserve">Behöver utveckla det mentala samt återhämtningen </t>
  </si>
  <si>
    <t>Tycker jag hanterar konstruktiv feedback bra</t>
  </si>
  <si>
    <t xml:space="preserve">Om jag har en mindre bra dag pga hormoner eller liknande behöver jag bli bättre på att inte bli ledsen kan ha väldigt lätt till det och då lära mig hur jag funkar så jag kan hantera situationen </t>
  </si>
  <si>
    <t xml:space="preserve">Tycker jag hanterar det väldigt bra, vet att jag har kunniga personer runt mig och tar gärna till mig det de säger </t>
  </si>
  <si>
    <t>Att utvecklas individuellt både på och utanför isen, försöka få speltid och vara en bärande roll när jag spelar med juniorerna.</t>
  </si>
  <si>
    <t xml:space="preserve">Tycker om när ni kommunicerar kan va om vad som helst men känns som man får bättre uppfattning om varann då, varför vissa beslut tas osv </t>
  </si>
  <si>
    <t>1wQnfrvR1-xe-g4GMEl4jRNd7-K9jXyXRJEUrJFtD4tU</t>
  </si>
  <si>
    <t>Grundställning och övergångar från baklänges till framlänges</t>
  </si>
  <si>
    <t xml:space="preserve">Stillastående starter, vill bli explosivare och snabbare i startar och längre åkningar </t>
  </si>
  <si>
    <t>Timing och slagskott</t>
  </si>
  <si>
    <t>Skotteknik i Quick releas, skott i skäret i hög fart, onetimer en bit ifrån målet</t>
  </si>
  <si>
    <t xml:space="preserve">Små ytor och blicken </t>
  </si>
  <si>
    <t>Puckföring längre sträckor, skydda pucken och behålla pucken långa sträckor, finter 1 mot 1 ”stor” yta</t>
  </si>
  <si>
    <t xml:space="preserve">Spel utan puck,  och screens </t>
  </si>
  <si>
    <t xml:space="preserve">Positionering ”med puck”, spelsystem och skanning </t>
  </si>
  <si>
    <t xml:space="preserve">Mottagningar forhand små ytor och passningar på små ytor. </t>
  </si>
  <si>
    <t xml:space="preserve">Passningar och mottagningar i skäret och i hög fart och backhand passningar </t>
  </si>
  <si>
    <t xml:space="preserve">Övergångar framlänges baklänges och kommunikation </t>
  </si>
  <si>
    <t xml:space="preserve">Klubbplacering i försvarszon för att minimera ytor för motståndare och, spelsystem i försvarszon </t>
  </si>
  <si>
    <t xml:space="preserve">Timing och screens när medspelare har puck och scanning av ytor och hitta fria ytor när jag har puck. </t>
  </si>
  <si>
    <t xml:space="preserve">När medspelarna har puck vill jag utveckla positionering, kommunikation och spelbarhet. När jag har puck vill jag utveckla puckansvar, blick och attack. Vill bli mer aggressiv i mitt anfallspel med och utan puck. </t>
  </si>
  <si>
    <t xml:space="preserve">Närkamper på små ytor utan puck. Och boxa ut 1 mot 1 </t>
  </si>
  <si>
    <t xml:space="preserve">Vill bli mer fysisk i mitt anfallspel och balans i taklingsteknik, återtagande av förlorad puck i anfallszon stor yta. </t>
  </si>
  <si>
    <t>Backcheck</t>
  </si>
  <si>
    <t xml:space="preserve">Forechecka i anfallszon och urspel och placering ur egenzon </t>
  </si>
  <si>
    <t xml:space="preserve">Ta mig ur fickan med puck med forcheckn från motståndarna. Acceleration från stillastående med puck framåt i banan. 1 mot 1 stor yta </t>
  </si>
  <si>
    <t xml:space="preserve">Ta mig in framför målet när mina medspelare har puck, stå framför mål med rätt placering, placering i försvarszon under uuppspel </t>
  </si>
  <si>
    <t xml:space="preserve">Tävling och vinnarinstinkt </t>
  </si>
  <si>
    <t xml:space="preserve">kroppsspråk </t>
  </si>
  <si>
    <t xml:space="preserve">Vinnarinstinkt </t>
  </si>
  <si>
    <t xml:space="preserve">Uppvärmning innan träning, jag vet vad min kropp behöver för att va bli uppvärmd på bästa sätt och jag sover tillräckligt. </t>
  </si>
  <si>
    <t xml:space="preserve">Mentalt  och återhämtning efter träning. Vill bli bättre på att bli starkare mentalt och mer förbered mentalt för träning och vill lära mig mer om vad som är bäst för min kropp för att kunna återhämta sig </t>
  </si>
  <si>
    <t xml:space="preserve">Uppvärmning och sömn samma som på träning </t>
  </si>
  <si>
    <t xml:space="preserve">Vill utveckla min kost och lära mig mer om vad jag behöver för att va så förbered fysiskt och mentalt inför match. Vad jag behköver äta och inte bör äta . </t>
  </si>
  <si>
    <t xml:space="preserve">Om vi ligger under lägger jag inte  stor vikt i de utan brukar tänka bort de och bara spela som vanligt. Blir inte påverkad om jag gör poäng eller inte, det spelar ingen roll vem som gör mål eller poäng för mig under pågående match. </t>
  </si>
  <si>
    <t xml:space="preserve">Jag måste utveckla mitt tankesätt när jag är trött och har en dålig träning försöka att inte lägga energi på de och bara köra på som vanligt. När de ställs höga krav på mig som spelare ska jag inte bli så besviken som jag kan bli när jag inte uppnår de kraven som ställs </t>
  </si>
  <si>
    <t xml:space="preserve">Jag hanterar feedback bäst när jag själv fått tänka igenom beslut jag tagit och gjort. Är mindre bra på att ta emot både positiv och negativ feedback under match då jag är så fokuserad på massa annat och i min egna bubbla. Det ska jag bli bättre på </t>
  </si>
  <si>
    <t>Mitt mål med denhär säsongen är att träna och bli så stark som möjligt innan min operation. Sen när jag blivit opererad ska jag ta mig tillbaka starkare fysiskt och mentalt och ha en rolig hockey upplevelse och ha kul.</t>
  </si>
  <si>
    <t xml:space="preserve">Ibland är det jobbigt att vara med på matcher och träningar och behöva sitta vid sidan av och inte kunna spela. </t>
  </si>
  <si>
    <t>1ye_m1y2R8LBaviOQvom0F6q_aC4Hso8xhE9Wrw9LG-A</t>
  </si>
  <si>
    <t>My skating is the ground for my game. I feel I’m good in övergångar, baklänges.</t>
  </si>
  <si>
    <t>Want to better on Blueline.</t>
  </si>
  <si>
    <t>Positionering, handledsskott</t>
  </si>
  <si>
    <t>Want to be better with onetimers</t>
  </si>
  <si>
    <t>For a d okay hands😂</t>
  </si>
  <si>
    <t>Blueline finter</t>
  </si>
  <si>
    <t>Värdera spelet</t>
  </si>
  <si>
    <t>Keep challenging my self with cap up</t>
  </si>
  <si>
    <t>Passing, breakouts</t>
  </si>
  <si>
    <t xml:space="preserve">When driving in from blue line to find the right play </t>
  </si>
  <si>
    <t xml:space="preserve">Angling/kroppspositionering/box out/ klubbplacering </t>
  </si>
  <si>
    <t>Gap up</t>
  </si>
  <si>
    <t>1. Kommunikation  2. Puckansvar</t>
  </si>
  <si>
    <t>1. Timing 2. To find the right play in offensive zone</t>
  </si>
  <si>
    <t>I like all närkamp situations</t>
  </si>
  <si>
    <t>Be free from the närkamp faster. Take the puck and go</t>
  </si>
  <si>
    <t>Egen zon</t>
  </si>
  <si>
    <t>Mittzonspress</t>
  </si>
  <si>
    <t>Blueline/out from närkamp/2vs1</t>
  </si>
  <si>
    <t>Gap up/forcheck pincha eller inte/ egen zon</t>
  </si>
  <si>
    <t>Tävla</t>
  </si>
  <si>
    <t>Tålamod</t>
  </si>
  <si>
    <t>I want to win</t>
  </si>
  <si>
    <t xml:space="preserve">Have find my way what works. </t>
  </si>
  <si>
    <t>Trust my body again.</t>
  </si>
  <si>
    <t>I will give my self chance to succeed everyday.</t>
  </si>
  <si>
    <t>Now a days it goes little better but sometimes I need that fight to push my self back to the game. And then it is you guys who I want to challenge 🥰</t>
  </si>
  <si>
    <t>Breathing first and saying after</t>
  </si>
  <si>
    <t xml:space="preserve">Game situation I play the game in my head and I hear what you say. Even if I don’t react. I put that information in to the game in my brain. </t>
  </si>
  <si>
    <t>Stay healthy and enjoy every day I can do my thing.</t>
  </si>
  <si>
    <t>1WJNUbk00wlE08epReka3ePCrcv4IKc-UI5gkw2SedRw</t>
  </si>
  <si>
    <t>jag skulle väl säga att jag är helt okej bra på fart när jag väl fått upp den och typ frånvändningar</t>
  </si>
  <si>
    <t>jag behöver speciellt utveckla min acceleration att få snabba starter och snabb acceleration. Jag skulle också vilja utveckla att använda mer ytterskär och trycka ifrån i översteg och så och bli bättre på snabba övergångar. Även att jobba mer på tyngdförflyttning. Egentligen känns det som att skridskoåkning överlag är nått jag vill träna mer på, alltså mer detaljer i det</t>
  </si>
  <si>
    <t xml:space="preserve">om jag väl har tid är jag väl ändå helt okej på att skjuta </t>
  </si>
  <si>
    <t>egentligen är väl skottet en av mina sämre egenskaper. Jag vill verkligen utveckla mer att kunna skjuta i skäret och quick release. Att komma in på mål och som skjuta i skäret så det blir svårare för målvakten att reagera. Sen vill jag även utveckla direktskott för mina är ju typ bedrövliga. Nått jag också känner att jag vill utveckla är väl oxå att komma in och göra en 90 grader och skjuta snabbt</t>
  </si>
  <si>
    <t>Jag skulle säga att jag är ganska bra på att skydda puck och blir bättre och bättre på typ kroppsfinter</t>
  </si>
  <si>
    <t xml:space="preserve">Jag vill bli bättre på att hantera pucken på små ytor, typ att bli skickligare på att ha pucken nära kroppen samtidigt som jag har kontroll på det. Att allmänt få lite finare handleder. nått jag även vill bli bättre på är att lyfta blicken mer och samtidigt kunna göra lite fler finter typ klubba skridsko och sånna vi brukar göra med Emma och sedan kunna använda det på isen. </t>
  </si>
  <si>
    <t>Jag är väl ändå ganska bra på typ positionering, eller typ jag vet vart jag ska vara och kan läsa spelet. Jag känner att jag blir mer och mer säkrare på spelsystemet även om det kanske inte alltid blir rätt.</t>
  </si>
  <si>
    <t>Jag hade velat utveckla mer att bli bättre på att scanna innan jag får pucken så att jag kan bli snabb på att fatta beslut. Även främst i egen zon att kanske jobba mer på tajming i tex fickan och sen att jag då scannat och kan värdera spelet bra utifrån de så jag inte kommer i dålig tajming och sen typ slänger bort pucken till backen. Men vill utveckla mycket att scanna innan jag får pucken så jag får en bild av spelet då</t>
  </si>
  <si>
    <t xml:space="preserve">jag skulle ändå säga att jag är bra på att lägga hårda pass i fart och mina mottagningar på forehand är ändå helt okej </t>
  </si>
  <si>
    <t xml:space="preserve">främst mottagningar skulle jag vilja utveckla, speciellt på backhand och skridsko. Typ skridskomottagningar i fart är nått jag verkligen vill utveckla, tex om man åker mot mål och får ett pass på skridskon att kunna ta emot den så att jag sen kan göra ett snabbt skott. Även att bli bättre på både backhand passningar så att de blir hårdare, men också backhandmottagningar. Men också att när jag får passet att kunna förflytta pucken och verkligen använda nedre handen mer så att jag kan göra snabba förflyttningar med pucken. </t>
  </si>
  <si>
    <t>jag är ändå ganska bra på att boxa ut och typ att angla</t>
  </si>
  <si>
    <t>jag behöver jobba mycket på att få ett bra fotarbete och typ ha klubban i en hand vid typ sargen. Att bli snabb med klubban och vara där hela tiden. Typ att kunna sätta fast motståndaren i sargen på ett smart sätt för att snabbt vinna puck. Så alltså jobba mycket med fotarbetet och klubbarbetet/klubbplacering. Veta vars det är bäst att ha klubban för att vinna puck och så, främst kring sargerna.</t>
  </si>
  <si>
    <t>Jag skulle ändå säga att jag försöker hitta bra spelbarhet för mina medspelare och en bra positionering. När jag själv har pucken försöker jag ha ett bra puckansvar och värdera situationer när jag tex ska passa och inte</t>
  </si>
  <si>
    <t>jag vill utveckla mer blicken och att scanna mer. Som tidigare att jag vill bli bättre på att redan veta vad jag ska göra när jag får pucken. Sen vill jag också utveckla min attack, att skapa farliga målsituationer och attackera mer på mål. Skjuta från fler olika vinklar och vara på mål. Nått jag verkligen vill fokusera på är spelet framför mål, att vara den jobbiga framför mål och bli bra på att skymma, styra och slå in returer.</t>
  </si>
  <si>
    <t>jag skulle säga att jag är hyfsat bra på att boxa ut och kanske vara tuff i närkamper</t>
  </si>
  <si>
    <t>jag vill utveckla tajmingen i det att typ använda min kropp på ett smidigare sätt, alltså typ att snabbt sätta fast i saten på ett bra sätt så att det blir lätt att få ut pucken. Alltså en bättre tacklingsteknik för har nog tacklat sarg lite för många gånger förra året. Och att bli riktigt ettrig och jobba tillbaka pucken direkt jag tappar den. Typ att direkt vända om och att jag blir mer ”taggig” som spelare om man säger så. Men det handlar nog mycket om att jag även måste förbättra mitt fotarbete</t>
  </si>
  <si>
    <t>Jag tycker ändå att jag blivit ganska bra på forechecken och att veta vilken spelare jag ska ta i en hemgång/backcheck</t>
  </si>
  <si>
    <t>jag känner att jag vill få en bättre tajming främst i mittzonspressen och att bli snabb på att göra spelvändningar. Även att lättare göra mig spelbar i urspelen. Jag förstår bra hur vi ska göra i egenzon, men att bli bättre på att verkligen komma upp i skottlinjen som forward och täcka fler skott</t>
  </si>
  <si>
    <t>puckhantering (bli mer lirkig och snabbare handleder), att direkt jag får pucken om jag inte är i fart kunna accelerera och göra en snabb start och få upp farten, snabbare skott och skjuta i skäret när jag kommer på mål</t>
  </si>
  <si>
    <t xml:space="preserve">scanna innan jag får pucken, fotarbetet och klubbhanteringen i 1mot1 situationer, placering och tajming i egenzon när det gäller urspel </t>
  </si>
  <si>
    <t>Jag skulle ändå säga att jag tävlar i alla situationer och alltid ger allt. Jag fortsätter alltid jobba även i motgångar. Även om jag kanske inte lyckas så försöker jag iaf alltid ge allt och göra vad jag kan</t>
  </si>
  <si>
    <t xml:space="preserve">Jag borde tänka mer på mitt kroppsspråk och vad jag utstrålar. Jag försöker tänka på det hela tiden men ibland kanske man ser på mig att jag är besviken när jag gör något dåligt vilket jag verkligen försöker jobba bort. </t>
  </si>
  <si>
    <t>Lite samma som på träning att jag alltid ger allt, jag ger inte upp och gör allt för och vinna. Jag menar ju inte att jag kanske gör allt rätt men jag tävlar i varje situation och har en ganska så stor vinnarskalle.</t>
  </si>
  <si>
    <t xml:space="preserve">Men det är ju främst kroppsspråket sen ja. ju allt bli bättre antar jag. Men främst det här med kroppsspråket att kanske inte hänga med huvudet när jag gör ett dåligt byte för att det märks på isen. </t>
  </si>
  <si>
    <t xml:space="preserve">Jag har jobbat ganska mycket med vad som är bra och äta och hur mycket så skulle ändå säga att jag har en bra kost. Jag värmer alltid upp innan träning, sen kanske det har vart lite stressigt från skolan men nån sorts uppvärmning gör jag ändå </t>
  </si>
  <si>
    <t>Jag behöver jobba mer på återhämtning och våga vila, att inte överträna. Sen också min sömn är ganska upp och ner vilket jag försöker jobba på. Sen ibland med skolan har det vart svårt med nedvarvning men jag måste bli bättre på det för skolan är ingen ursäkt. Det mentala är ganska jobbigt för mig, har kämpat ganska hårt men det är nått som jag verkligen måste förbättra, främst med självförtroende och bli mer självsäker</t>
  </si>
  <si>
    <t>Innan match värmer jag upp ordentligt och äter bra och vilar innan så skulle ändå säga att förberedelser innan match är ganska bra. Jag vet vad jag själv behöver för att vara fokuserad och redo</t>
  </si>
  <si>
    <t xml:space="preserve">Som sagt är det mentala ganska jobbigt som svag skrev under träning. Det är väl det jag måste utveckla väldigt mycket. </t>
  </si>
  <si>
    <t>Jag skulle ändå säga att när det ställs höga krav, om vi ligger under eller typ om jag får negativ feedback hanterar jag det ändå ganska bra och fortsätter köra och bara försöker göra jobbet ännu bättre. Sen om jag har en dålig dag eller är lite trött känns det ofta skönt för mig om jag får träna och så för då tänker jag inte just på det</t>
  </si>
  <si>
    <t xml:space="preserve">Det är främst saker som jag känner att
jag gör mindre bra som som blir en utmaning för mig att hantera. Till exempel om det är moment som är väldigt svårt och jag känner att jag misslyckas hela tiden blir det mer att jag går in i mig själv och trycker ner mig ännu mer vilket jag måste ändra på. Typ poäng (även om det inte är allt) känner jag att jag typ inte presterar nog bra om jag inte gör poäng på kanske en lite längre tid. Jag behöver utveckla att snabbt sluta tänka på om jag tex gör ett dåligt byte eller gjorde en dålig passning så det blir baklängesmål. </t>
  </si>
  <si>
    <t xml:space="preserve">Jag skulle ändå säga att jag hanterar feedback ganska bra, speciellt lite negativ feedback. För då är det mer som att jag nästa gång bara försöker göra det bättre och då vet jag verkligen vad som blev fel. Jag tycker om att få sån feedback för det blir också lättare för jag känner att jag själv tar in sånt ganska bra och försöker ändra på det direkt. Sen kanske behöver bli bättre på att ta emot positiv feedback och kunna ge mig själv en klapp på axeln när jag får det. Att verkligen erkänna för mig själv typ ”vad bra att du gjorde så”. </t>
  </si>
  <si>
    <t xml:space="preserve">Mina mål med denna säsong är att verkligen utvecklas som hockeyspelare, att bli mer tryggare i mig själv på isen och våga ännu mer. Våga spela mitt spel och ta för mig på isen. Sen är det ju alltid att utvecklas och ta en plats i landslaget. </t>
  </si>
  <si>
    <t>Att jag verkligen uppskattar all feedback jag kan få</t>
  </si>
  <si>
    <t>1DMmRI9g_f-5U5CkLuqcnP4utcTa8GBXjj6hOZKnBCsw</t>
  </si>
  <si>
    <t xml:space="preserve">tycker jag är snabb på skridskorna när jag väl fått upp farten. min baklängesåkning är hyffsat utvecklad från när jag var back. </t>
  </si>
  <si>
    <t xml:space="preserve">jag åker med ganska raka ben, skulle vilja komma ner i hockeysitsen mer. Vill jobba på vändningar åt vänster både fram och bakåt. vill även bli bättre på att accelerera från stillastående. </t>
  </si>
  <si>
    <t xml:space="preserve">jag är bättre på slagskott och handledskott och är duktig på att skjuta även om pucken inte är perfekt på bladet. </t>
  </si>
  <si>
    <t xml:space="preserve">vill bli bättre på att skjuta på vänster ben (skjuter mest på högern) och vill bli bättre på att skjuta i skäret och även dra in och dra ifrån pucken och få till ett hårt och bra skott. </t>
  </si>
  <si>
    <t xml:space="preserve">jag är bra på att skydda pucken i inbrytnignar (lättare på vänster fot fram), har även utvecklat att inte hacka lök när man för pucken. </t>
  </si>
  <si>
    <t xml:space="preserve">vill gärna utveckla puck på små ytor samt finter och dragningar </t>
  </si>
  <si>
    <t>jag är bra på att läsa av spelet och placera mig rätt i olika situationer</t>
  </si>
  <si>
    <t>vill gärna utveckla beslutfattandet (när jag ska hålla i pucken eller spela)</t>
  </si>
  <si>
    <t>passa pucken på bladet till en spelare i fart, brukar vara duktig på att ta emot pucken med skridskon</t>
  </si>
  <si>
    <t xml:space="preserve">vill gärna utveckla allt spel via backhand </t>
  </si>
  <si>
    <t xml:space="preserve">är duktig på att hålla gap och att tajma anglingen, brukar oftas ligga rätt i försvarzon </t>
  </si>
  <si>
    <t>vill bli bättre på klubbarbetet och ligga rätt i sarg situationer</t>
  </si>
  <si>
    <t>är bra på att hålla mig spelbar och placera mig rätt så att man alltid är ett alternativ. är duktig på att scanna banan när jag själv har puck för att veta vad jag ska göra med den</t>
  </si>
  <si>
    <t xml:space="preserve">vill be bättre på att prata och kommunicera samt bli bättre på att attackera målet när jag väl får läge </t>
  </si>
  <si>
    <t>brukar vara duktig på att komma ut med pucken i närkamper (dock ej spelat med tacklingar)</t>
  </si>
  <si>
    <t>vill lära mig tacklingsteknik och bli mer fysisk i närkamper (både försvarande och anfallande)</t>
  </si>
  <si>
    <t xml:space="preserve">är duktig på att följa spelplanen och system. forecheck är de jag behärskar mest. Även att läsa av och ta upp spelare i backchecken </t>
  </si>
  <si>
    <t>vill bli bättre på mittzonspress för att vinna tillbaka pucken innan blå</t>
  </si>
  <si>
    <t>att skydda pucken i fart och använda kroppen för att hålla motståndaren borta 
1 mot 1 finta bort sin motspelare 
1 mot 1 eller 2 mot 1 i sargspel, kunna ta emot press i ryggen och komma ut med pucken</t>
  </si>
  <si>
    <t xml:space="preserve">använda kroppen för att vinna puck och yta, utöver hela banan 
placera mig rätt för att tvinga motståndarna att spela pucken åt ett specifik håller eller spelare 
2 mot 1 över banan och hur man ska agera i olika situationer 
</t>
  </si>
  <si>
    <t xml:space="preserve">skulle säga att mitt kroppspråk är bra </t>
  </si>
  <si>
    <t xml:space="preserve">tävlingsdelen på träning, vilja tävla för pucken hela tiden </t>
  </si>
  <si>
    <t>tycker det är lättare att ha en vinnarinstink och tävling på match, det kommer naturligt</t>
  </si>
  <si>
    <t xml:space="preserve">mitt kroppspråk är inte alltid det bästa under match </t>
  </si>
  <si>
    <t xml:space="preserve">uppvärmning, sömn och kost rullar alltid på bra </t>
  </si>
  <si>
    <t xml:space="preserve">nedvarvning och den menatala biten måste bli lite bättre, kanske även återhämtning </t>
  </si>
  <si>
    <t xml:space="preserve">uppvärmning, kost och sömn är bra </t>
  </si>
  <si>
    <t xml:space="preserve">den mentala biten, ibland tänker jag lite för mycket </t>
  </si>
  <si>
    <t>är duktig på att ta emot och ta in feedback, ger alltid allt även om det är olika procent varje träning och match</t>
  </si>
  <si>
    <t xml:space="preserve">ibland blir jag irriterad när jag inte klarar av något eller tycker det är svårt samt när vi ligger under </t>
  </si>
  <si>
    <t xml:space="preserve">jag tycker jag hanterar feedback bra och tar alltid in vad som sägs och försöker mitt bästa för att fixa det. </t>
  </si>
  <si>
    <t xml:space="preserve">att komma in i tempot och den fysiska delen, lägga på muskler och bli starkare så jag blir starkare på isen och kan ta en plats i laget och få spela så mycket som möjligt. Vill självklart också prestera framot med poäng. </t>
  </si>
  <si>
    <t>1DfPtZSdVy7V5V7IGVA_naFVJjcX1eWr4y5PJBhua3OA</t>
  </si>
  <si>
    <t>Acceleration, fart</t>
  </si>
  <si>
    <t xml:space="preserve">Frånvändning, övergångar, baklänges </t>
  </si>
  <si>
    <t xml:space="preserve">Skotteknik, handledsskott </t>
  </si>
  <si>
    <t xml:space="preserve">Skott i skäret, timing, precision </t>
  </si>
  <si>
    <t xml:space="preserve">Puck i fart, klubbföring </t>
  </si>
  <si>
    <t xml:space="preserve">Skydda puck, blicken, frånvändningar </t>
  </si>
  <si>
    <t xml:space="preserve">Läsa spelet </t>
  </si>
  <si>
    <t xml:space="preserve">Scanning, beslutsfattande, spelsystem, kommunikation </t>
  </si>
  <si>
    <t xml:space="preserve">Backhandmottagning, hand - arm förflyttningar, passningar små ytor </t>
  </si>
  <si>
    <t xml:space="preserve">Passningar, skridskomottagning, blick </t>
  </si>
  <si>
    <t xml:space="preserve">Fotarbete </t>
  </si>
  <si>
    <t xml:space="preserve">Angling, timing, gap, övergångar till bakåt </t>
  </si>
  <si>
    <t xml:space="preserve">När medspelare har puck- screen, blick 
När jag har puck- attack </t>
  </si>
  <si>
    <t xml:space="preserve">När jag har puck- Puckansvar, värdering, scanning 
När medspelare har puck- Kommunikation </t>
  </si>
  <si>
    <t xml:space="preserve">Återtagande av puck </t>
  </si>
  <si>
    <t xml:space="preserve">, skydda puck, tackling, närkamper </t>
  </si>
  <si>
    <t xml:space="preserve">Forecheck </t>
  </si>
  <si>
    <t xml:space="preserve">Mittzonspress, kontrollerade urspel </t>
  </si>
  <si>
    <t xml:space="preserve">Puckansvar/skydda puck, blicken upp, urspel kontrollerat </t>
  </si>
  <si>
    <t xml:space="preserve">Spelbar, boxa ut, hitta min spelare </t>
  </si>
  <si>
    <t xml:space="preserve">Vinnarinstinkt/ Tävling, grit </t>
  </si>
  <si>
    <t xml:space="preserve">Kroppsspråk, släppa det dåliga </t>
  </si>
  <si>
    <t xml:space="preserve">Grit, vinnarinstinkt </t>
  </si>
  <si>
    <t xml:space="preserve">Kroppsspråk </t>
  </si>
  <si>
    <t xml:space="preserve">Uppvärmning, kost, sömn, återhämtning </t>
  </si>
  <si>
    <t xml:space="preserve">Mental, nedvarvning( stressigt till skola) </t>
  </si>
  <si>
    <t xml:space="preserve">Uppvärmning, kost sömn, återhämtning </t>
  </si>
  <si>
    <t xml:space="preserve">Kunskap i ämnet </t>
  </si>
  <si>
    <t xml:space="preserve">Forstätter kämpa </t>
  </si>
  <si>
    <t xml:space="preserve">Släppa det som varit, blicka framåt </t>
  </si>
  <si>
    <t xml:space="preserve">Jag tänker på det och försöker göra det, ta det på ett bra sätt </t>
  </si>
  <si>
    <t xml:space="preserve">Spela mycket med förtroende, fortsätta utvecklas </t>
  </si>
  <si>
    <t>1skuuNC9eSL2HgUCk4oDCCjXfsMq9VWUzJBg3vn7REQQ</t>
  </si>
  <si>
    <t>Tycker jag är en bra skridskoåkare framåt, med frånvändnigar åt vänster</t>
  </si>
  <si>
    <t xml:space="preserve">Kan jobba mer på att vara mer smooth i min åkning, </t>
  </si>
  <si>
    <t>Bra handledskott och timing</t>
  </si>
  <si>
    <t>Vill bli bättre på obekväma skott</t>
  </si>
  <si>
    <t xml:space="preserve">Puck i fart, bra blick </t>
  </si>
  <si>
    <t xml:space="preserve">Kan bli bättre på finter, skydda puck </t>
  </si>
  <si>
    <t>Bra på timing, positionering, spel utan puck, läsa spel</t>
  </si>
  <si>
    <t>Kan bli bättre på att ta sabba beslut</t>
  </si>
  <si>
    <t>Jag är bra på passningar forehand, mottagningar, skridskomottagning</t>
  </si>
  <si>
    <t>Kan bli bättre på backhand passningar och små ytor</t>
  </si>
  <si>
    <t>Är bra på gap control, fotarbete, boxa ut, klubba 1 vs 2 händer, klubbplacering</t>
  </si>
  <si>
    <t xml:space="preserve">Kan bli bättre på klubbarbete och framåt bakåt </t>
  </si>
  <si>
    <t xml:space="preserve">när min medspelare har puck, spelbarhet, screens. När jag har puck har jag bra puckansvar </t>
  </si>
  <si>
    <t xml:space="preserve">Jag kan bli bättre på kommunikation, attack </t>
  </si>
  <si>
    <t xml:space="preserve">Bra på att ta tillbaka puck, tacklingsteknik, närkamper och boxa ut </t>
  </si>
  <si>
    <t>Behöver bli bättre på att skydda puck och bättre balans</t>
  </si>
  <si>
    <t xml:space="preserve">Forecheck, backcheck och egen zon </t>
  </si>
  <si>
    <t>Kan bli bättre på mittzonzpress</t>
  </si>
  <si>
    <t xml:space="preserve">När jag bär in puck i anfallszon, När jag ska ta avslut,  Våga ta puck in mot mål </t>
  </si>
  <si>
    <t xml:space="preserve">Kommunikation vid närkamper i sarg, </t>
  </si>
  <si>
    <t>Jag har bra kroppsspråk, vinnarinstinkt, Vill alltid ge mitt 100</t>
  </si>
  <si>
    <t xml:space="preserve">hoppas inget </t>
  </si>
  <si>
    <t xml:space="preserve">Jag gör det jag ska för att prestera och hjälpa mina lagkamrater </t>
  </si>
  <si>
    <t>.</t>
  </si>
  <si>
    <t xml:space="preserve">Jag äter rätt, sover bra, har bra återhämtning, uppvärmning </t>
  </si>
  <si>
    <t xml:space="preserve">Kan bli lite bättre på  nedvarvning </t>
  </si>
  <si>
    <t xml:space="preserve">Jag äter rätt, sover bra, har bra återhämtning, uppvärmning, mental </t>
  </si>
  <si>
    <t xml:space="preserve">Jag försöker att inte tänka på det allt för mycket, så det inte påverkar folket runt om kring mig . </t>
  </si>
  <si>
    <t xml:space="preserve">Jag hanterar det bra </t>
  </si>
  <si>
    <t>Att komma till baka starkare än innan och ta SM-GULD</t>
  </si>
  <si>
    <t>1VCGN7_aTz8ZEv_PcmY-2yvpvGc_lR2S_1Zs195c-51I</t>
  </si>
  <si>
    <t xml:space="preserve">Tycker jag har bra kantkontroll, frånvändning och teknik. </t>
  </si>
  <si>
    <t xml:space="preserve">Behöver utveckla starter, acceleration och övergångar. Samt kanske sitta lite längre. </t>
  </si>
  <si>
    <t xml:space="preserve">Helt ok handledsskott, kan få till en bra one timer här och där. </t>
  </si>
  <si>
    <t>Kan bli bättre på dom flesta skottyperna. Så att jag mer naturligt använder mitt skott i match. Exempelvis att ha höften mot mål</t>
  </si>
  <si>
    <t>Pucktouch, finter med skridskor, frånvändningar</t>
  </si>
  <si>
    <t xml:space="preserve">Skydda puck i fart och på små ytor. Lösare nedre hand. </t>
  </si>
  <si>
    <t>Positionering, spelet utan puck, tvinga fram misstag hos andra, screens, spelsystem</t>
  </si>
  <si>
    <t>Timing, värdera spelet till tider (ibland gör jag kanske inte det bästa valet)</t>
  </si>
  <si>
    <t xml:space="preserve">Passningar, mottagningar, forehand, skridskomottagning, </t>
  </si>
  <si>
    <t>Små ytor, nedre hand</t>
  </si>
  <si>
    <t xml:space="preserve">Angling, låsa upp spelare, spelar tufft </t>
  </si>
  <si>
    <t xml:space="preserve">Gap control, användningen av klubban så att den inte blir låst i en pin, boxa ut </t>
  </si>
  <si>
    <t xml:space="preserve">Göra mig spelbar, eller skapa tid och yta för medspelare, kommunikation, </t>
  </si>
  <si>
    <t>Inte alltid vara den som ska sätta screen, fortsätta utveckla puckansvar, positionering och blicken</t>
  </si>
  <si>
    <t>Positionering inför en tackling, närkamper, återvinna puck</t>
  </si>
  <si>
    <t xml:space="preserve">Skydda puck, kroppskontroll, närkamper </t>
  </si>
  <si>
    <t>Forecheck, backcheck, mittzon</t>
  </si>
  <si>
    <t>Egen zon och anfall</t>
  </si>
  <si>
    <t>Skydda puck och inte alltid måsta ha den på bladet, blicken med puck, lugnet med pucken</t>
  </si>
  <si>
    <t>Bli mer medveten om positionering av klubba och användning av den för att inte låsa upp mig, hitta ”dolda” ytor, placering av skridskor och kropp i egen zon för att va mer redo för vad som kan komma</t>
  </si>
  <si>
    <t>Grit, tävlingsinriktad, vill göra andra runt om mig bättre</t>
  </si>
  <si>
    <t>Kroppsspråk</t>
  </si>
  <si>
    <t>Grit, vinnarinstinkt, karaktär</t>
  </si>
  <si>
    <t xml:space="preserve">Tycker jag har bra kunskap om uppvärmning, kost, återhämtning </t>
  </si>
  <si>
    <t>Sliter lite med sömn till tider, som kan påverka återhämtningen, det mentala</t>
  </si>
  <si>
    <t xml:space="preserve">Samma här. Tycker jag har bra kunskap om dom flesta sakerna. </t>
  </si>
  <si>
    <t xml:space="preserve">Mental, sömn. </t>
  </si>
  <si>
    <t xml:space="preserve">Tycker jag är rätt bra på att pusha genom utmaningar i form av trötthet, tyngre dag, feedback från alla håll. </t>
  </si>
  <si>
    <t xml:space="preserve">Att inte stressa kring utveckling eller poäng. Brukar ha högre krav på migsjälv än vad andra har på mig. </t>
  </si>
  <si>
    <t xml:space="preserve">Tycker jag tar det bra </t>
  </si>
  <si>
    <t xml:space="preserve">Fortsätta bli mer lugn med pucken, vara farlig i offensiv son, va en spelare som både lagkompisar och tränare kan lita på. Vill va en pålitlig tvåvägsspelare </t>
  </si>
  <si>
    <t xml:space="preserve">Vill alltid utvecklas och jobba på saker jag behöver utveckla. Jag behöver känna mig mer sedd för att känna trygghet och att ni tror på mig. Jag vill gärna ha video och feedback kring hur jag presterar för att vara den bästa versionen jag kan vara för laget och er. </t>
  </si>
  <si>
    <t>1LNDeTDYuHfqBgFkgxfPpjQRRzGLPZ6L1AXB1Dg2p4MA</t>
  </si>
  <si>
    <t xml:space="preserve">Kantkontroll, övergångar, baklänges </t>
  </si>
  <si>
    <t>Acceleration, starter</t>
  </si>
  <si>
    <t>Skotteknik, handledsskott, precision</t>
  </si>
  <si>
    <t>Skott i olika situationer, onetimer, quick release, skott i skär, vara oförutsägbar</t>
  </si>
  <si>
    <t>Touch, skridskor, små ytor</t>
  </si>
  <si>
    <t>Skydda puck, finter, små ytor</t>
  </si>
  <si>
    <t>Positionering, timing, läsa spelet, scanning, värdera spelet, spelsystem, anticipation</t>
  </si>
  <si>
    <t>Beslutsfattande, screens, kommunikation</t>
  </si>
  <si>
    <t>Skridskomottagning, hand-arm placering, nedre hand, 1 hand</t>
  </si>
  <si>
    <t>Backhand, pass och mottag</t>
  </si>
  <si>
    <t>Övergång framåt/bakåt, klubbplacering</t>
  </si>
  <si>
    <t>Gap control, kroppspositionering, boxa ut</t>
  </si>
  <si>
    <t>Scanning, värdering av situation, timing</t>
  </si>
  <si>
    <t>Spelbarhet, screens, attack</t>
  </si>
  <si>
    <t>Balans, återtagande av puck, kroppskontroll</t>
  </si>
  <si>
    <t xml:space="preserve">Boxa ut, skydda puck </t>
  </si>
  <si>
    <t>Alla</t>
  </si>
  <si>
    <t xml:space="preserve">Skott i olika situationer, attack mot mål, vara oförutsägbar </t>
  </si>
  <si>
    <t>Boxa ut, gap/ angling, situationer där det sker spelarbyten eller liknande (kommunikation)</t>
  </si>
  <si>
    <t>Tävling, vinnarinstinkt, grit</t>
  </si>
  <si>
    <t xml:space="preserve">Kost, återhämtning </t>
  </si>
  <si>
    <t>Kunskap, sömn, mental</t>
  </si>
  <si>
    <t>Försöker att använda frustrationen till bra saker. Kan vara bättre när jag är lite arg ibland.</t>
  </si>
  <si>
    <t xml:space="preserve">Kan nog synas på mig ibland. Blir som att jag går in i min egen bubbla, men det är också lite mitt sätt att fokusera och inte låta det ta över. </t>
  </si>
  <si>
    <t>Allt som oftast hanterar jag det bra, finns tillfällen då jag hanterat det mindre bra.</t>
  </si>
  <si>
    <t xml:space="preserve">Mitt mål är att ta nästa steg som hockeyspelare och bli en ännu bättre och mer komplett spelare. Har höga ambitioner och vill utmana mig själv individuellt och bidra så mycket jag kan till laget. Utvecklas fysiskt, som hockeyspelare och som person. Vinna sm guld. </t>
  </si>
  <si>
    <t>Jag spelar mycket med känslorna och är väldigt tävlingsinriktad. När jag är fokuserad och inne i min bubbla kan jag se ganska arg eller allvarlig ut, men det är oftast bara mitt sätt att hantera det och funkar oftast bäst så. Svårt att förklara:)</t>
  </si>
  <si>
    <t>1Zvc1Wc-GtKGh0Dc_AK52shVUjGo4vlYmX4eCrGbB6Yk</t>
  </si>
  <si>
    <t>Översteg</t>
  </si>
  <si>
    <t>Övergångar och kantkontroll</t>
  </si>
  <si>
    <t>Timing, positionering, precision</t>
  </si>
  <si>
    <t>One timer, skott i skäret och att fakea skott i olika situationer till ex 90 gradare</t>
  </si>
  <si>
    <t>Blicken</t>
  </si>
  <si>
    <t>Skydda puck, finter</t>
  </si>
  <si>
    <t>Beslutsfattande, spelsystem, värdera</t>
  </si>
  <si>
    <t>Scanning i vissa situationer till ex fickan</t>
  </si>
  <si>
    <t xml:space="preserve">Forehand pass, flipp, forehand mottagning </t>
  </si>
  <si>
    <t>Backhand mottagning i fart, skirdskomottagning, backhandpassningar</t>
  </si>
  <si>
    <t xml:space="preserve">Klubbarbete, angling </t>
  </si>
  <si>
    <t>Fotarbete, boxa ut</t>
  </si>
  <si>
    <t>Medspelare puck - screen, spelbarhet
Jag har puck - scanning, attack, värdering av situation</t>
  </si>
  <si>
    <t xml:space="preserve">Medspelare har puck - boxa in
Jag har puck - lösa små tajta situationer, 1mot1, hålla i pucken mer </t>
  </si>
  <si>
    <t>Tacklingsteknik, närkamper</t>
  </si>
  <si>
    <t>Skydda puck, balans</t>
  </si>
  <si>
    <t xml:space="preserve">Forecheck, egen zon, backcheck </t>
  </si>
  <si>
    <t>Mittzonspress, urspel</t>
  </si>
  <si>
    <t xml:space="preserve">Skydda pucken i anfallszon
Skjuta snabbare från svåra lägen, obekväma situationer och olika typ av skott
Puckhantering på backhand, till exempel att driva med pucken på backhand
</t>
  </si>
  <si>
    <t xml:space="preserve">Att alltid göra sig spelbar, över hela banan 
1 mot 1 situationer 
Vinna tillbaka pucken snabbare 
</t>
  </si>
  <si>
    <t xml:space="preserve">Vinnarinstinkt, karaktär </t>
  </si>
  <si>
    <t xml:space="preserve">Lägga ner mer tid på att köra något extra efter isen </t>
  </si>
  <si>
    <t xml:space="preserve">Tävling, kroppsspråk </t>
  </si>
  <si>
    <t xml:space="preserve">Ha ännu mer vinnarinstinkt offensivt, att alltid vilja avgöra </t>
  </si>
  <si>
    <t xml:space="preserve">Uppvärmning, kost och sömn </t>
  </si>
  <si>
    <t>Nedvarvning</t>
  </si>
  <si>
    <t xml:space="preserve">Uppvärmning, kost, sömn </t>
  </si>
  <si>
    <t xml:space="preserve">återhämtning </t>
  </si>
  <si>
    <t xml:space="preserve">Försöker att hålla humöret uppe även om det går dåligt/har en dålig dag, är bra på att släppa saker och gå vidare </t>
  </si>
  <si>
    <t>Hålla uppe humöret bättre gällande domare och olika situationer jag inte kan påverka</t>
  </si>
  <si>
    <t>Hanterar det bra, försöker att alltid vara mottaglig för både och. Hör hellre att någon ger mig negativ feedback än att inte säga något alls</t>
  </si>
  <si>
    <t xml:space="preserve">Utvecklas och bli ännu bättre. Vinna guld </t>
  </si>
  <si>
    <t>Nej</t>
  </si>
  <si>
    <t>1ZruEVpJoVRAmBCXRXz0MXq0mikJthMRycxk00D9u3cU</t>
  </si>
  <si>
    <t xml:space="preserve">Är väll helt okej på baklängesåkning </t>
  </si>
  <si>
    <t xml:space="preserve">De jag tycker jag behöver utveckla mest är starter och övergångar </t>
  </si>
  <si>
    <t xml:space="preserve">Typ att skjuta precis när forwarden åker förbi målisen </t>
  </si>
  <si>
    <t>Allt</t>
  </si>
  <si>
    <t xml:space="preserve">Blicken kanske </t>
  </si>
  <si>
    <t xml:space="preserve">Skydda puck och små ytor </t>
  </si>
  <si>
    <t>Skulle säga att jag kan läsa spelet</t>
  </si>
  <si>
    <t xml:space="preserve">Kommunikation, kan bli ännu bättre på tajming och beslutsfattande </t>
  </si>
  <si>
    <t xml:space="preserve">Skridskomottagning, passningar </t>
  </si>
  <si>
    <t xml:space="preserve">Backhand, hand placering </t>
  </si>
  <si>
    <t xml:space="preserve">Angling </t>
  </si>
  <si>
    <t xml:space="preserve">Boxa ut, gap control, fotarbete, mycket med klubban </t>
  </si>
  <si>
    <t xml:space="preserve">När medspelare har puck- scanning
När jag har puck- scanning och blick </t>
  </si>
  <si>
    <t xml:space="preserve">När medspelare har puck- kommunikation, spelbarhet 
När jag har puck- värdering av situation </t>
  </si>
  <si>
    <t>Balans</t>
  </si>
  <si>
    <t xml:space="preserve">Boxa ut, skydda puck, närkamper, återtag av puck </t>
  </si>
  <si>
    <t xml:space="preserve">Passningar, skydda puck, beslutsfattande </t>
  </si>
  <si>
    <t xml:space="preserve">Spelbar, kommunikation, skapa yta till medspelare </t>
  </si>
  <si>
    <t xml:space="preserve">Vinnarinstinkt, kroppsspråk </t>
  </si>
  <si>
    <t xml:space="preserve">Tävling </t>
  </si>
  <si>
    <t xml:space="preserve">Tävla </t>
  </si>
  <si>
    <t xml:space="preserve">Uppvärmning, kost </t>
  </si>
  <si>
    <t xml:space="preserve">Återhämtning, sömn </t>
  </si>
  <si>
    <t xml:space="preserve">Återhämtning, kost </t>
  </si>
  <si>
    <t xml:space="preserve">Försöker ändå vara positiv </t>
  </si>
  <si>
    <t xml:space="preserve">Vet inte </t>
  </si>
  <si>
    <t xml:space="preserve">Bra </t>
  </si>
  <si>
    <t xml:space="preserve">Göra allt för att hjälpa laget </t>
  </si>
  <si>
    <t>19OPlxPwLz03Q_eNEC9sziEi51lL0drzaxVau7v06soM</t>
  </si>
  <si>
    <t>Tycker jag har en bra skridskoteknik</t>
  </si>
  <si>
    <t xml:space="preserve">Jag behöver utveckla min snabbhet i allt jag gör skridsko mässigt, ex vändningar, starter </t>
  </si>
  <si>
    <t>Bra på handeldare, använda flexen</t>
  </si>
  <si>
    <t>Vi bli ännu snabbare, bättre på at skjuta förbi block och skjuta i obekväma situationer</t>
  </si>
  <si>
    <t>Bra på puckföring, bra kontroll</t>
  </si>
  <si>
    <t>Vill utveckla det ännu mer, och bli ännu mer säker men klubba och puck och kunna göra det i fart!</t>
  </si>
  <si>
    <t>Tycker jag har bra uppfattning om spelet</t>
  </si>
  <si>
    <t>Vill bli ännu bättre på att hitta tajmingen i spelet</t>
  </si>
  <si>
    <t xml:space="preserve">Bra på få fart i passningarna med bra kvalitet </t>
  </si>
  <si>
    <t>Vill bli ännu värre på mottagningar vi fötterna och backhand</t>
  </si>
  <si>
    <t>Tycker jag är bra på boxa ut och ha kontroll på motståndarna</t>
  </si>
  <si>
    <t xml:space="preserve">Vill bli ännu bättre på mitt gap och våga ligga nära plus övergångar fram till baklänges </t>
  </si>
  <si>
    <t xml:space="preserve">Bra puckkontroll, scanning, blick, positionering </t>
  </si>
  <si>
    <t xml:space="preserve">Vill bli ännu bättre på puckansvar, våga hålla i puck och bättre på kommunicera i anfallszon </t>
  </si>
  <si>
    <t xml:space="preserve">Bra balaand, känner mig stabil och ganska så fysisk </t>
  </si>
  <si>
    <t xml:space="preserve">Vill bli ännu bättre på att boxa ut och orka göra det, och bli bättre på att skydda puck </t>
  </si>
  <si>
    <t>Tycker ändå jag är bra på hitta positioner i egenzon och i backchecken</t>
  </si>
  <si>
    <t>Men vill bli ännu bättre på kommunikationen och snabbare hitta sin spelare i försvaret och våga komma upp i forechecken</t>
  </si>
  <si>
    <t>Puckkontroll, skott i obekväm situationer och obekväma mottagningar</t>
  </si>
  <si>
    <t xml:space="preserve">Hitta min spelare snabbt, gapet och tajmingen </t>
  </si>
  <si>
    <t xml:space="preserve">Tycker att jag har ett bra kroppsspråk, visar att jag vill lära mig </t>
  </si>
  <si>
    <t xml:space="preserve">Vill utveckla min vinnarinstinkt, visa ännu mer vinnarskalle </t>
  </si>
  <si>
    <t xml:space="preserve">Tycker att jag tävlar, har en bra karaktär, visar att jag vill vinna </t>
  </si>
  <si>
    <t>Vill utveckla att orka fortsätta tävla fast det börjar bli jobbigt, att inte ge upp på det när det börjar gå tyngre!</t>
  </si>
  <si>
    <t xml:space="preserve">Tycker jag har goda rutiner, både mat mässigt och uppvärmning mässigt </t>
  </si>
  <si>
    <t>Vill bli ännu bättre på ordentlig sömn, att hitta något som ger mig energi och bibehålla det speciellt kring kosten, och bli ännu bättre med nedvarvningen</t>
  </si>
  <si>
    <t>Likt som svaren ovan, har ändå goda rutiner</t>
  </si>
  <si>
    <t xml:space="preserve">Men samma som ovan, jag vill hitta ett sätt som fungerar för mig, som jag sen kan alltid göra inför varje match. Och speciellt kring maten och sömnen! </t>
  </si>
  <si>
    <t xml:space="preserve">Försöker hitta ett sätt som fungerar, att fokusera lite extra till exempel. Att på något sätt acceptera att man har en dålig dag vissa dagar! </t>
  </si>
  <si>
    <t>Det jag behöver utveckla är att vara mer konsekvent i det man göra, att bli ännu mer noggrann sådana dagar!</t>
  </si>
  <si>
    <t xml:space="preserve">Tycker jag hanterar feedback väldigt bra, mycket jag har lärt mig av den mentala träningen jag har! Att ta till sig feedbacken på ett bra sätt och göra nytta av den! </t>
  </si>
  <si>
    <t xml:space="preserve">Mitt mål denna säsongen är att verkligen utvecklas i allt det jag gör, vill våga ännu mer och acceptera att det blir fel ibland för att sedan kunna våga göra det igen! Och så vill jag bli ännu snabbare i det jag gör, både i skridskoåkningen och spelet överlag! </t>
  </si>
  <si>
    <t>Inget speciellt</t>
  </si>
  <si>
    <t>1S05c8tknrH8Aj2v2kBMkPmRRVtAT_V7cYFsRAOu2vRI</t>
  </si>
  <si>
    <t>speed</t>
  </si>
  <si>
    <t>I want to be more explosive coming out of stops and turns.</t>
  </si>
  <si>
    <t>accuracy</t>
  </si>
  <si>
    <t>I want to improve the power of my shot while skating and when shooting from awkward or off-balance positions.</t>
  </si>
  <si>
    <t>I don’t think I have any standout strengths.</t>
  </si>
  <si>
    <t>I want to have softer hands when handling the puck.</t>
  </si>
  <si>
    <t>I think I’m good at understanding the team’s system and playing within it.</t>
  </si>
  <si>
    <t>I want to improve the speed and accuracy of my decision-making.</t>
  </si>
  <si>
    <t>Nothing really stands out, but I don’t have any particular weaknesses.</t>
  </si>
  <si>
    <t>I want to make harder and more accurate passes, and I want to be able to receive passes cleanly, even if they’re at my feet or slightly off target.</t>
  </si>
  <si>
    <t>block shots</t>
  </si>
  <si>
    <t>I want to improve my ability to keep up with opponents.</t>
  </si>
  <si>
    <t>When a teammate has the puck: 
to read the play and quickly support my teammates in puck battles.
When I have the puck: 
Finding open teammates and making passes.</t>
  </si>
  <si>
    <t>When a teammate has the puck: 
Finding open space and getting into good positions.
When I have the puck:
I want to have a stronger mindset of attacking the net and creating scoring chances.</t>
  </si>
  <si>
    <t>I’m not used to playing with this level of physicality, so I need to develop my checking skills and become more comfortable with physical play.</t>
  </si>
  <si>
    <t>forecheck, backcheck , neutral zone pressure</t>
  </si>
  <si>
    <t>breakout play</t>
  </si>
  <si>
    <t>Finding open ice and getting into scoring positions.
Shooting quickly and accurately around the net.
Protecting the puck under pressure and making quick decisions.</t>
  </si>
  <si>
    <t>Forechecking and putting pressure on opponents.
Finding open space and getting into good positions.
Defensive positioning and staying with opponents.</t>
  </si>
  <si>
    <t xml:space="preserve"> Integrity</t>
  </si>
  <si>
    <t>competitive mindset</t>
  </si>
  <si>
    <t>work hard</t>
  </si>
  <si>
    <t>I tend to feel nervous and anxious before games, so I want to develop a stronger mindset and be more confident.</t>
  </si>
  <si>
    <t>warm-up, nutrition, sleep, recovery, cool-down</t>
  </si>
  <si>
    <t>Understanding the practice plans.</t>
  </si>
  <si>
    <t>Understanding my opponents’ tendencies.</t>
  </si>
  <si>
    <t>I’m very receptive to feedback. I see both positive and negative feedback as opportunities to learn and improve.</t>
  </si>
  <si>
    <t>My goal is to do my job, fulfill my role, and contribute to the team’s success.</t>
  </si>
  <si>
    <t>1Z08Upl9m4PWuv191zzLHE4vO2uQT4RM6XIw_Ttdzj1c</t>
  </si>
  <si>
    <t>I’m good at staying with opposing players defensively and maintaining my positioning.</t>
  </si>
  <si>
    <t>Skating is my biggest weakness, and I need to improve the fundamentals overall. I want to improve every aspect of my skating, especially my acceleration, speed, transitions, pivots, edge control, and skating away from pressure.</t>
  </si>
  <si>
    <t>shooting technique, slap shot, one-timer</t>
  </si>
  <si>
    <t>I need to become more confident in shooting during games. I tend to pass instead of taking the shot because I don't always trust my shot or I think passing is the better option. I also want to improve the speed and power of my wrist shot.</t>
  </si>
  <si>
    <t>I have good puck control and stickhandling when I have time and space. I'm comfortable handling the puck and making plays without pressure.</t>
  </si>
  <si>
    <t>I need to improve my puck handling and control under pressure, at higher speeds, and in tight spaces. I also want to improve my ability to keep my head up while maintaining control of the puck in game situations.</t>
  </si>
  <si>
    <t>My strengths are my positioning, hockey IQ, reading the play, and decision-making. I communicate well with my teammates and usually adapt to team systems quickly.</t>
  </si>
  <si>
    <t>I want to improve my communication and understanding of team systems in English.
Last season, I struggled a lot with the team system and communication because I didn't understand English.</t>
  </si>
  <si>
    <t>Passing is one of my strengths. I focus on timing and accuracy, making passes when my teammates are in the best position to receive them. I’m also confident in my ability to receive and control passes cleanly.</t>
  </si>
  <si>
    <t>I need to improve my backhand passing and receiving. I avoid using my backhand passing in games because I’m not confident with it.</t>
  </si>
  <si>
    <t>As a defenseman, I’m confident in my defensive play. I’m beaten 1-on-1 in the defensive zone because I focus on good positioning, stick positioning, and reading the play.</t>
  </si>
  <si>
    <t>I need to improve my boxing out and physical play. I tend to rely on my stick instead of using my body to defend, so I want to become more confident and effective in physical battles all over the ice.</t>
  </si>
  <si>
    <t>When a teammate has the puck, I focus on supporting the play with good positioning and timing. When I have the puck, I scan the ice, read the situation, and look for opportunities to attack.</t>
  </si>
  <si>
    <t>When a teammate has the puck, I need to improve my communication. I want to communicate more by calling for the puck and providing information to my teammates. When I have the puck, I need to keep my feet moving while maintaining puck control instead of stopping my feet.</t>
  </si>
  <si>
    <t>One of my strengths is my balance. I stay on my feet well and don’t go down easily during battles.</t>
  </si>
  <si>
    <t>I need to improve every aspect of my physical play. I want to become stronger in battles all over the ice, including boxing out, corner battles, and puck retrieval situations.</t>
  </si>
  <si>
    <t>As a defenseman, I handle breakout play well. I focus on making good decisions and helping our forwards transition quickly to offense.</t>
  </si>
  <si>
    <t>I need to develop my offensive play. I want to become more creative with the puck and improve my ability to create offensive opportunities.</t>
  </si>
  <si>
    <t>Skating under pressure (acceleration, transitions)
Shooting confidence and increasing the speed and power of my wrist shot
Puck handling and control at high speed and under pressure</t>
  </si>
  <si>
    <t>Winning physical
Boxing out and defending net-front situations
Communicating more effectively with my teammates away from the puck</t>
  </si>
  <si>
    <t>I always give my best effort in practice. I’m coachable, open to feedback, and always willing to learn and improve from my coaches and teammates.</t>
  </si>
  <si>
    <t>I need to develop a stronger competitive mindset and become more hungry to win in every situation.</t>
  </si>
  <si>
    <t>I’m very competitive and always play to win. I compete hard until the end and never give up.</t>
  </si>
  <si>
    <t>I need to play with more confidence during games. I want to trust myself more and be more assertive and proactive in every situation.</t>
  </si>
  <si>
    <t>My strengths are my commitment to sleep and nutrition. I consistently prioritize both to maintain my physical condition and perform at my best.</t>
  </si>
  <si>
    <t>I need to be more consistent with my cool-down and recovery. Sometimes, when I’m very tired or hungry, I don’t spend enough time on stretching and recovery.</t>
  </si>
  <si>
    <t>I prepare thoroughly for every game. I watch video, use my warm-up to get mentally ready, and make sure I’m fully prepared to perform at 100% when the game starts.</t>
  </si>
  <si>
    <t>I tend to get nervous before games, so I want to stay calmer and more relaxed so I can perform at my best from the start.</t>
  </si>
  <si>
    <t>I’m open to feedback and always try to use it to improve. If I have questions, I ask so I can better understand</t>
  </si>
  <si>
    <t>My goal is to help my team win the championship. I want to be an important player who contributes to the team's success, and I also want to improve on my individual performance from last season.</t>
  </si>
  <si>
    <t>My English is still developing, so I would appreciate it if you could speak a little more slowly and use simple English. I’m always trying to improve my English and communication.</t>
  </si>
  <si>
    <t>1sURpbGPP1lABh9clDFrR6n43O_P6T8wIc-kLu_bUxaQ</t>
  </si>
  <si>
    <t xml:space="preserve">My speed is okay once I get going. Not right from the start though. </t>
  </si>
  <si>
    <t xml:space="preserve">I need to work on my edges more (especially outside edge) and in turns, pivots and transitions. It doesn’t feel super comfortable and I think if I got more comfortable with my edges it would help with all of that. I also need to work on my first three steps in my acceleration to be a more explosive,faster skater. </t>
  </si>
  <si>
    <t xml:space="preserve">When I have time I can get the shot off pretty okay but I need to focus more on being quicker with it. </t>
  </si>
  <si>
    <t xml:space="preserve">I need to focus on having my top hand away from my body so I can shoot harder. I also need to focus on shooting quicker in uncomfortable situations and in stride. </t>
  </si>
  <si>
    <t>I feel pretty comfortable picking up passes and working the puck along the boards.</t>
  </si>
  <si>
    <t xml:space="preserve">I need to work on not exposing the puck in open ice and being able to use my body better to protect the puck. Also picking up passes in my feet and keeping my head up more, scanning with the puck. </t>
  </si>
  <si>
    <t>I feel comfortable with team systems, being net front and communicating on the ice.</t>
  </si>
  <si>
    <t xml:space="preserve">I need to focus more on scanning/shoulder checking all the time to help with my positioning and to be able to make plays faster. I also need to work on knowing when to skate the puck instead of always looking to pass it right away. </t>
  </si>
  <si>
    <t xml:space="preserve">I feel pretty comfortable making good passes and receiving on my forehand. </t>
  </si>
  <si>
    <t xml:space="preserve">I need to develop my backhand passing and keeping my hand away from my body to be able to pick it up on my back hand easier. I also need to get more comfortable picking up the puck anywhere around my body/skates. </t>
  </si>
  <si>
    <t>I need to work on everything here</t>
  </si>
  <si>
    <t xml:space="preserve">I need to focus on using my stick first when going up to my d in the dzone. I also need to be able to be more confident with gap control, angling and transitions between forward and backward skating. </t>
  </si>
  <si>
    <t>Playability/support, communications and screens.</t>
  </si>
  <si>
    <t xml:space="preserve">I need to work on scanning to be able to make better decisions and to have more of attack first mindset. Some days puck management is okay and some days it needs to be much better. </t>
  </si>
  <si>
    <t xml:space="preserve">I feel pretty comfortable checking and taking a hit and working along the boards. </t>
  </si>
  <si>
    <t xml:space="preserve">I need to work on be able to take a hit and then to not get stuck on the boards. I want to come out of it faster.  </t>
  </si>
  <si>
    <t xml:space="preserve">I understand how to do most of the stuff in my head but I just need to do a better job at timing and executing it properly. </t>
  </si>
  <si>
    <t xml:space="preserve">I need to have better timing when I’m F2 or 3 on the forecheck. I also need to get better at being an option and ready for the puck faster on transitions. </t>
  </si>
  <si>
    <t xml:space="preserve">1. Coming off the wall faster with the puck after taking a hit
2. Shooting quicker in stride on the rush 
3. Delays/cut backs and be more confident with my edges and puck protection in those situations </t>
  </si>
  <si>
    <t>1. Consistently being a good screen- infront of net and when teammate has puck to create space for them
2. More confident on edges to be able to be better to challenge opponent in angling/ gaps
3. Finding open space and being ready to shoot off of any kind of pass</t>
  </si>
  <si>
    <t xml:space="preserve">Competitive </t>
  </si>
  <si>
    <t xml:space="preserve">I need to develop playing harder on everyone in practice </t>
  </si>
  <si>
    <t>I love to compete</t>
  </si>
  <si>
    <t>I can’t let things out of my control affect me</t>
  </si>
  <si>
    <t xml:space="preserve">Nutrition and warm ups </t>
  </si>
  <si>
    <t xml:space="preserve">I need to stretch more and include that in my cool downs. I’ve never used a mental trainer so that could be something to practice with </t>
  </si>
  <si>
    <t>I do a good warmup and try to change different things if it’s not working for me</t>
  </si>
  <si>
    <t xml:space="preserve">I need to focus on getting good sleeps even when travelling </t>
  </si>
  <si>
    <t>I am usually pretty good at taking it. I like getting it, especially in games with certain plays, etc.</t>
  </si>
  <si>
    <t>Win</t>
  </si>
  <si>
    <t>1oC13j20Nu-uV9F_fh4OAsX7M20iZnrjbTu75gsWTGEY</t>
  </si>
  <si>
    <t xml:space="preserve">This summer, I worked a lot on stance, edge control, balance, change of direction, stride, overall speed, and quick starts. I have improved on my overall stride, especially having a lighter and more efficient stride. I started by first working on my stance and focusing on not being hunched over with my butt out, rather bending at the knee and keeping my core and upper body strong. </t>
  </si>
  <si>
    <t xml:space="preserve">I still want to improve on quick starts, transitions and acceleration. The quick starts will be mostly with the puck, especially on breakouts or to get separation speed in the neutral zone or offensive zone as well. When I turn away from pressure and protect the puck, getting out of the turns and accelerating will be great to get faster and more efficient at. I can also work on my transition from backwards to forwards which can be useful on the breakout as well. </t>
  </si>
  <si>
    <t>- Snapshot - technique
- Overall strength of shot 
- Shooting in stride</t>
  </si>
  <si>
    <t xml:space="preserve">- One-timers (technique and confidence)
- Changing the angle of my shot, especially on 1v1s; shooting through the defender
- Quick releases after a move or after separating from the defender even a little bit 
- Accuracy in different scenarios with pressure and alone with the goalie 
</t>
  </si>
  <si>
    <t>- Tight area control
- Head up play
- Dekes
- Puck Touch</t>
  </si>
  <si>
    <t>- Puck protection
- Handling puck at speed
- Handling with feet
- Turns away from pressure as well as acceleration with head up</t>
  </si>
  <si>
    <t xml:space="preserve">- Timing
- Decision-making 
- Communication
- Team systems 
- Evaluating situations
- Net front presence/screens
- Anticipation
</t>
  </si>
  <si>
    <t xml:space="preserve">- Positioning in D zone
- Scanning in O Zone; continue on working on D Zone as well
- Play without the puck and anticipating teammates moves/setting screens. felt like I have been developing this throughout last year, but still can always be improved.
</t>
  </si>
  <si>
    <t xml:space="preserve">- Passing - forehand
- Head-up play (can always be improved and working on confidence with my head up in all areas
- Tight areas
- Passing at speed
</t>
  </si>
  <si>
    <t>- Passing - backhand
- Moves with two hands
- Arm and hand positioning
- Receiving at speed - feel like I have been developing this, but it is something that can always be worked on</t>
  </si>
  <si>
    <t xml:space="preserve">- Boxing out
- Communication in D-zone and knowledge on when to switch or stay when there are switches on the blue line and on the boards
- Transition between forward and backward skating
- Stick positioning
- Blocking shots
</t>
  </si>
  <si>
    <t>- Gap control
- Angling
- Positioning in D-zone and ready to collapse when there is a breakdown quicker</t>
  </si>
  <si>
    <t xml:space="preserve">- Support without the puck
- Positioning
- Communication
- Puck Management
- Net front presence
</t>
  </si>
  <si>
    <t xml:space="preserve">- Screens when I don't have the puck
- Scanning 
- Rebound production; separation from the defender and putting the puck in 
- Shot location and decision-making 
</t>
  </si>
  <si>
    <t xml:space="preserve">- 50-50 battles 
- Net-front battles (want to improve still on getting out of the battles after a shot and finding the rebound)
- Initiating hits without the puck
</t>
  </si>
  <si>
    <t xml:space="preserve">- Balance when giving and receiving a hit 
- Reverse hits
- Getting off of the wall and avoiding pinned
- Pinning with stick on puck </t>
  </si>
  <si>
    <t xml:space="preserve">- Neutral zone pressure
- Forecheck 
- Positioning in defensive zone
- Offensive play 
- Communication </t>
  </si>
  <si>
    <t xml:space="preserve">- I have been actively working on this, but I think continuing to get better at picking players on back check
- Transition play, defense to offense; again something I have been actively working on </t>
  </si>
  <si>
    <t xml:space="preserve">- Shooting with pressure and in different situations
- Breakouts 
- Attacking the net </t>
  </si>
  <si>
    <t>- Screens when my teammate has the puck in the offensive zone
- Speed and anticipation before I get the puck on the breakout 
- Separation speed and transitions</t>
  </si>
  <si>
    <t xml:space="preserve">- Grit
- Competitive mindset
- Competitiveness
- Character
</t>
  </si>
  <si>
    <t xml:space="preserve">- Body language (something I have been actively working on, but sometimes because of my competitive nature or frustrations it can look different </t>
  </si>
  <si>
    <t xml:space="preserve">- Grit
- Compete
- Character </t>
  </si>
  <si>
    <t xml:space="preserve">- Body language is usually better in games and I am a positive and competitive teammate. However, with the refs or with frustrations, it can be harder to control </t>
  </si>
  <si>
    <t>- Warm- up (usually we lift before, so we are warmed up. I also like doing some skating and stick work before we meet as a team if we have time)
- Nutrition
- Sleep
- Recovery</t>
  </si>
  <si>
    <t xml:space="preserve">- Cool-down (have been improving this year already, but want to make sure I am consistent)
- Mental preparation </t>
  </si>
  <si>
    <t>- Warm-up
- Sleep
- Mental Preparation</t>
  </si>
  <si>
    <t xml:space="preserve">- Cool-down
- Recovery 
- Nutrition
- Knowledge and understanding of recovery and preparation
Generally, these are things that I have struggled with this past season and something I have reflected on. I have and will continue to talk to Jenni about recovery, nutrition, and learning more about recovery and preparation in general. </t>
  </si>
  <si>
    <t xml:space="preserve">I think I handle feedback generally well. I am always receptive to feedback and want to get better for the team. Sometimes in the heat of the moment it can be hard, but I think I am getting better every year. </t>
  </si>
  <si>
    <t xml:space="preserve">Assuming this is individual goal, I want to be more of an impact player consistently that is relied upon in all situations. I want to be a productive leader on and off the ice and that is looked up to. 
If it is team we can talk about that in person too, but I want us to play for and win Gold, closing out tight games in the third period, and playing for the team and not as individuals.
After talking with the mental skills coach, I am going to come up with multiple specific goals and make sure to meet with him and do extra work with emma or the coaches. </t>
  </si>
  <si>
    <t xml:space="preserve">Nope :) I just want to grow and develop and be impactful for this team </t>
  </si>
  <si>
    <t>1tUvr7Y_iXF8hyQowyRnp2d8GraA_REljcaBon4Zivgw</t>
  </si>
  <si>
    <t xml:space="preserve">-good puck protection
-turning away and using cutbacks
-am fairly good at punch turns but could use them more in games </t>
  </si>
  <si>
    <t xml:space="preserve">posture- lower and sit up more. 
-exploding out of a tight turn/cutback
-speed, getting faster out of cutbacks and just in general. 
-tight turn on my left outside edge (forehand) </t>
  </si>
  <si>
    <t>-accuracy
-snap shot</t>
  </si>
  <si>
    <t>-becoming more deceptive
-shooting in stride
-quick release
-one- timer</t>
  </si>
  <si>
    <t>-heads up plays</t>
  </si>
  <si>
    <t xml:space="preserve">putting the puck in a good position on tight turns/cutbacks- especially on my forehand side not getting my hands tangled
- keeping my hands away from my body
- becoming more deceptive. </t>
  </si>
  <si>
    <t>Good at reading the play and always looking for the next play
-net front presence/ screens. communication
-scanning/ shoulder check on the back check. 
-learning systems quickly and the details of them</t>
  </si>
  <si>
    <t xml:space="preserve">getting my head up on the wall as a winger in the d zone,  ready to make the next play. 
-play without the puck- getting into a good area for my line mates/ d pair- more in the offensive zone. </t>
  </si>
  <si>
    <t xml:space="preserve">-passing on forehand
-saucing the puck when needed
-receiving with skates. </t>
  </si>
  <si>
    <t xml:space="preserve">-passing and receiving harder passes. 
-backhand passes. 
-keeping my hands away from my body. </t>
  </si>
  <si>
    <t xml:space="preserve">good angling and getting in the lane to block shots. </t>
  </si>
  <si>
    <t xml:space="preserve">stick work, stick on puck, getting the body </t>
  </si>
  <si>
    <t xml:space="preserve">when a teammate has the puck: 
-communication and heads up plays
-scanning the ice
when I have the puck:
- puck management
- scanning, reading and evaluating situations </t>
  </si>
  <si>
    <t>when a teammate has the puck: 
-getting in the right area to become an option for them.
when I have the puck: 
-having more of an attack mentality
-holding onto the puck even longer and not just throwing it away (example at the red line, hold onto the puck as long as I can, unless the situation calls for something different) 
-continuing to possess after a cut back and not just throwing it way</t>
  </si>
  <si>
    <t>-protecting the puck
-getting the first bump</t>
  </si>
  <si>
    <t>-body control
-checking technique- learning how to give and take
-balance</t>
  </si>
  <si>
    <t>From experience, I learn team systems quickly and like the small details. 
-forecheck, backcheck, defensive play, offensive play</t>
  </si>
  <si>
    <t xml:space="preserve">- I want to develop my breakout play, against the wall as a winger, winning battles against my d and checking my shoulder on the wall- knowing where my d is. </t>
  </si>
  <si>
    <t>1. cutbacks and turning out of them with speed
2. becoming more deceptive and getting to the middle of the ice more
3. wall play in the defensive zone on a breakout</t>
  </si>
  <si>
    <t>1. supporting my linemates in a good area in the offensive zone
2. physical side of the game- checking and using that to my advantage
3. 1v1 pinning against the boards and stick positioning</t>
  </si>
  <si>
    <t>-competitive mindset
-positive mindset
-competitiveness, always keeping track of small area game score to increase competitiveness</t>
  </si>
  <si>
    <t>-staying in the battle and if lost working extra hard to get the puck back</t>
  </si>
  <si>
    <t xml:space="preserve">-competitiveness
-body language
- grit </t>
  </si>
  <si>
    <t>-stopping on pucks and battles instead of curling away</t>
  </si>
  <si>
    <t xml:space="preserve">-warm up
-knowledge and understanding of the subject
-cool down </t>
  </si>
  <si>
    <t>-nutrition</t>
  </si>
  <si>
    <t>-warm-up
-knowledge and understanding the subject
-cool down
-mental prep- write 3 things to focus on</t>
  </si>
  <si>
    <t>I handle constructive feedback well because I know that we all have the same goal of getting better and it will only help me in the long run. If the feedback was always positive, there would be nothing to improve or work on (which there always is) and ignoring it would not make me a better hockey player. At the same time, if it is always negative, it can become mentally exhausting. I think it’s important to have a balance between both positive and constructive feedback, and I understand the importance of each.</t>
  </si>
  <si>
    <t xml:space="preserve">I want to continue to really focus on my play with the puck, puck possession, and getting towards the middle of the ice. Shooting more in games to increase my chance of producing. </t>
  </si>
  <si>
    <t>1_5VO_28J5kEujyqgJETLAR2C4RFAKDaqEUDpkgBNzMs</t>
  </si>
  <si>
    <t xml:space="preserve">Speed, because I have a long glide so it’s easy to grow speed. Backward skating is good and I can steer away the opponent. </t>
  </si>
  <si>
    <t xml:space="preserve">Acceleration and starts has been my biggest develop and that I can be more explosive. </t>
  </si>
  <si>
    <t xml:space="preserve">Wrist shot is pretty good in stride. </t>
  </si>
  <si>
    <t xml:space="preserve">Shooting technique and especially shooting in stride. As a defence, I would like to improve my shooting from the blue line and my accuracy. </t>
  </si>
  <si>
    <t xml:space="preserve">Puck touch and protecting the puck from pressure. </t>
  </si>
  <si>
    <t xml:space="preserve">Tight-area control and stickhandling there. </t>
  </si>
  <si>
    <t xml:space="preserve">Reading the play and seeing whats happening around. Playing without the puck and trying to position right and be helpful to others. </t>
  </si>
  <si>
    <t xml:space="preserve">My biggest develop now is decision making with the puck and thinking little longer what is the best decision. To have courage to keep the puck longer. </t>
  </si>
  <si>
    <t xml:space="preserve">Passing and using forehand more. Using one hand or two hand and receiving a pass. </t>
  </si>
  <si>
    <t xml:space="preserve">Receiving when it comes in bad angle and there is more pressure coming. Also in tight areas. </t>
  </si>
  <si>
    <t xml:space="preserve">Gap control and transitions between forward and backward skating and giving stick pressure and poking the puck. </t>
  </si>
  <si>
    <t xml:space="preserve">Boxing out and getting the stcik away in front of our own net so our goalgeeper can see the play. </t>
  </si>
  <si>
    <t xml:space="preserve">When teammate has the puck: positioning and helping so I am playable. 
When I have the puck: scanning and reading the situation. </t>
  </si>
  <si>
    <t xml:space="preserve">When teammate has the puck: more communication and timing so they get the help. 
When I have the puck: puck management and be more brave to keep the puck longer and do the right decision. </t>
  </si>
  <si>
    <t xml:space="preserve">Physical confrontations and keeping balance on my body. </t>
  </si>
  <si>
    <t xml:space="preserve">Puck retrieval and going with speed to the corners. Boxing out and having more strenght to it. </t>
  </si>
  <si>
    <t xml:space="preserve">Defensive zone play and defensive play. Forecheck and giving pressure.  </t>
  </si>
  <si>
    <t xml:space="preserve">In neutral zone pressure and giving less cap to the opponent. To be more playable in offensive play. </t>
  </si>
  <si>
    <t xml:space="preserve">Moving and shooting on the blue line. Puck control when opening the play. Having the puck in the corner whit pressure. </t>
  </si>
  <si>
    <t xml:space="preserve">Helping the defensive partner in defensive zone. Boxe out. Defending backward without the puck. </t>
  </si>
  <si>
    <t xml:space="preserve">Competitive mindset mostly with my self and wanting to be better and set my own standards to myself. </t>
  </si>
  <si>
    <t xml:space="preserve">Get the grit more out of me. </t>
  </si>
  <si>
    <t xml:space="preserve">Competitivness and getting my mind to the game. Giving all out. </t>
  </si>
  <si>
    <t xml:space="preserve">When I have competitive mindset it’s hard to forgive my own mistakes or when it’s not my day and can’t get the best out of me. </t>
  </si>
  <si>
    <t xml:space="preserve">Good warm-up and knowing and understanding the subject and what are we practicig. </t>
  </si>
  <si>
    <t xml:space="preserve">Nutrition and eating enoug and getting better sleep. </t>
  </si>
  <si>
    <t xml:space="preserve">Good warm-up and mental preparation are my most important things. </t>
  </si>
  <si>
    <t xml:space="preserve">Good nutrition and sleep. </t>
  </si>
  <si>
    <t xml:space="preserve">It’s always good to get both positive and negative because it balances both. Negative means you can improve something and yourself eaven better. Positive means you succeeded in something. </t>
  </si>
  <si>
    <t xml:space="preserve">To develop into the best possible player I can be and give my all for the team. </t>
  </si>
  <si>
    <t>Im sorry this was difficult to do in English so it can be little hard to read or understand😅</t>
  </si>
  <si>
    <t>1cvnNw3_Ii8HCCY8-6idBsE6uZkG8Iv15nIk2hcjzAh0</t>
  </si>
  <si>
    <t>My strength are edge control, top speed and backwards skating.</t>
  </si>
  <si>
    <t>Balance, efficiency, acceleration and protection.</t>
  </si>
  <si>
    <t>Quick release, slap shot and positioning.</t>
  </si>
  <si>
    <t>Fake the opponent before the shot, accuracy, back hand shot.</t>
  </si>
  <si>
    <t>No dust / simple and efficient handling.</t>
  </si>
  <si>
    <t>Stickhandling, head-up play, tight-aerea control.</t>
  </si>
  <si>
    <t>Positioning and timing, understanding and applying the teams system, anticipating the opponent / reading the play.</t>
  </si>
  <si>
    <t>Offensive play, scanning more.</t>
  </si>
  <si>
    <t>Strong passes, long flip passes trough players.</t>
  </si>
  <si>
    <t>Control of receiving bad passes, head-up play.</t>
  </si>
  <si>
    <t>Gap control, angling, box-out</t>
  </si>
  <si>
    <t>Stick on stick when a forward is about to shoot, stick work.</t>
  </si>
  <si>
    <t>Screens, puck management.</t>
  </si>
  <si>
    <t>Attacking mindset! Positioning, timing, reading and evaluations situations. I want to learn how to be much more helpful and involved in offensive zone.</t>
  </si>
  <si>
    <t>Boxing out, play physical.</t>
  </si>
  <si>
    <t>Balance, protecting the puck.</t>
  </si>
  <si>
    <t>Defensive play, transition play and forcheck.</t>
  </si>
  <si>
    <t xml:space="preserve">Break out, offensive play. </t>
  </si>
  <si>
    <t>Offensive play, break out, stickhandling with head-up play.</t>
  </si>
  <si>
    <t xml:space="preserve">Offensive play, offensive timing, joining the rushes and knowing where to fill in the zones when attacking on a rush </t>
  </si>
  <si>
    <t xml:space="preserve">Positive energy, eager to learn, competitiveness </t>
  </si>
  <si>
    <t xml:space="preserve">Grit, more competitiveness, remember the details I learned and apply them all the time and not just when I remember </t>
  </si>
  <si>
    <t>Positive energy, sacrifice for the team, lifting others up.</t>
  </si>
  <si>
    <t>Grit, less mercy for opponents.</t>
  </si>
  <si>
    <t xml:space="preserve">Knowledge and understanding of the subject, greedy to learn
More, knowledge of what to eat when. </t>
  </si>
  <si>
    <t>Warm-up, cool-down</t>
  </si>
  <si>
    <t>Knowledge of what to eat before, during and after, general knowledge of understanding my body.</t>
  </si>
  <si>
    <t>Warm-up and cool-down; I underestimated the importance sometimes.</t>
  </si>
  <si>
    <t>I am very self-aware and open to receive informations that I want them to understand and apply the best possible way for myself.</t>
  </si>
  <si>
    <t>Improve my offensive play. Learn and get as much useful information as possible to keep with me forever and develop as a teammate and player.</t>
  </si>
  <si>
    <t>1bAxIk0Jdlp5Q8ZQzqpyKik9CMugvI2veISOldIbZngI</t>
  </si>
  <si>
    <t>TEAM</t>
  </si>
  <si>
    <t>SDHL</t>
  </si>
  <si>
    <t>Isabelle Rosén</t>
  </si>
  <si>
    <t>Transition from forward skating to backward skating</t>
  </si>
  <si>
    <t>Acceleration and starting speed</t>
  </si>
  <si>
    <t>Skate along the blue line and get a shot off at the right time</t>
  </si>
  <si>
    <t xml:space="preserve">Quick release </t>
  </si>
  <si>
    <t>Head up and puck touches — don’t start stickhandling immediately when I get the puck on my blade</t>
  </si>
  <si>
    <t xml:space="preserve">Skating whit the puck on my blade </t>
  </si>
  <si>
    <t xml:space="preserve">Read the play, decision making </t>
  </si>
  <si>
    <t xml:space="preserve">Positioning </t>
  </si>
  <si>
    <t>Passing and receiving (forehand and backhand)</t>
  </si>
  <si>
    <t xml:space="preserve">Be able to receive pucks on the skate and the upper hand </t>
  </si>
  <si>
    <t xml:space="preserve">Transition from forward to backward </t>
  </si>
  <si>
    <t>Footwork, working with the stick, box out</t>
  </si>
  <si>
    <t>Be available for a pass, head up. 
Scanning, heads up</t>
  </si>
  <si>
    <t xml:space="preserve">Assessment of situation, attack </t>
  </si>
  <si>
    <t xml:space="preserve">Protect the puck </t>
  </si>
  <si>
    <t xml:space="preserve">Body control </t>
  </si>
  <si>
    <t>Breakout, transition play, offensive play</t>
  </si>
  <si>
    <t xml:space="preserve">Neutralzone press </t>
  </si>
  <si>
    <t>On the blue line, quick first pass, move up from our own goal</t>
  </si>
  <si>
    <t>Aggressive in our own zone, using our sticks in front of our own net, boxing out</t>
  </si>
  <si>
    <t>Body language</t>
  </si>
  <si>
    <t xml:space="preserve">Competing </t>
  </si>
  <si>
    <t xml:space="preserve">Body language, competing, winning mentality </t>
  </si>
  <si>
    <t xml:space="preserve">Mayby little of it all </t>
  </si>
  <si>
    <t xml:space="preserve">Sleep and eat good, warm up </t>
  </si>
  <si>
    <t xml:space="preserve">Cool down </t>
  </si>
  <si>
    <t xml:space="preserve">Warm up, sleep and eat </t>
  </si>
  <si>
    <t xml:space="preserve">Little of cool down </t>
  </si>
  <si>
    <t xml:space="preserve">I try to do my best even when I’m having a bad day, keep it to myself, and don’t take it out on others, and always pushing the other players when we are behind </t>
  </si>
  <si>
    <t xml:space="preserve">Always put a smile on my face </t>
  </si>
  <si>
    <t>I take everything as something positive even if it’s a negative feedback, because that helps me to become a better person</t>
  </si>
  <si>
    <t xml:space="preserve">First get the chance to train whit the women’s team then play a game, and become a better hockey player </t>
  </si>
  <si>
    <t xml:space="preserve">I play as best when I get feedback during a game </t>
  </si>
  <si>
    <t xml:space="preserve">Turnaways, transitions </t>
  </si>
  <si>
    <t xml:space="preserve">Acceleration, and speed, starts </t>
  </si>
  <si>
    <t xml:space="preserve">Wrist shot </t>
  </si>
  <si>
    <t>Quick release, positioning, shoot in the strides</t>
  </si>
  <si>
    <t>Protect the puck</t>
  </si>
  <si>
    <t xml:space="preserve">Puck in speed, puck touch </t>
  </si>
  <si>
    <t xml:space="preserve">Communication, screens, </t>
  </si>
  <si>
    <t xml:space="preserve">Positioning, value the game, scanning </t>
  </si>
  <si>
    <t xml:space="preserve">Receptions, forehand, backhand </t>
  </si>
  <si>
    <t xml:space="preserve">The Lower hand, small areas </t>
  </si>
  <si>
    <t xml:space="preserve">Box out, stick 1 vs 2 hands, transitions, forward, backwards </t>
  </si>
  <si>
    <t xml:space="preserve">Gap, angling, foot work, body positioning </t>
  </si>
  <si>
    <t>Communication, screen, attack, puck responsibility</t>
  </si>
  <si>
    <t xml:space="preserve">Timing, scanning, positioning, vision,valuation of situation </t>
  </si>
  <si>
    <t xml:space="preserve">Protect the puck, hit technique, battles </t>
  </si>
  <si>
    <t xml:space="preserve">Balance, body controll </t>
  </si>
  <si>
    <t>Backcheck,, forecheck, breakout, offensive zone and defensive zone</t>
  </si>
  <si>
    <t xml:space="preserve">Neutral zone pressure </t>
  </si>
  <si>
    <t xml:space="preserve">Turning away from the boards with a defender on your back, shooting from the right position and right time, finding a pass in the right time and making it go to the blade </t>
  </si>
  <si>
    <t xml:space="preserve">Scanning where I should go and when, angling when the opponent is going full speed against you, when I should change positions in middle zone press </t>
  </si>
  <si>
    <t>Character, Discipline, a winning mentality, 100% effort, and strong body language.</t>
  </si>
  <si>
    <t xml:space="preserve">I don’t always have motivation, I still do what I should and will challenge myself. </t>
  </si>
  <si>
    <t>Body language, winning mentality, character, tries to always be positive and cheer the team, competing, never give up, 100%</t>
  </si>
  <si>
    <t xml:space="preserve">How I handle difficult things, like less ice time. I don’t show it outwards but it’s bad inside my head </t>
  </si>
  <si>
    <t xml:space="preserve">Food, sleep, mentally </t>
  </si>
  <si>
    <t xml:space="preserve">Warming up, down warming </t>
  </si>
  <si>
    <t xml:space="preserve">Warm up, food, sleep, mentally </t>
  </si>
  <si>
    <t xml:space="preserve">Recovery </t>
  </si>
  <si>
    <t>Always try my best and don’t show it outwards so I affect the team. Try to keep it inside and still be positive. If I get feedback I usually say “okey thank you for telling me, I will think about it”. I rarely get mad or irritated by feedback, I want feedback. And it’s always funny to make points but if I don’t I don’t and if someone else makes 4 points I’m happy for them and there acivement</t>
  </si>
  <si>
    <t xml:space="preserve">When I’m tired I can be less positive and just want to sleep so I will try I be better at that </t>
  </si>
  <si>
    <t>Always good, whatever I get told, I want feedback to get better</t>
  </si>
  <si>
    <t>To get better.</t>
  </si>
  <si>
    <t>Wilma Johansson Larsson</t>
  </si>
  <si>
    <t>I am good at skating backwards, transitions, and cutback.</t>
  </si>
  <si>
    <t>I need to improve my starts and acceleration.</t>
  </si>
  <si>
    <t>My onetimers and back shots from the blue line.</t>
  </si>
  <si>
    <t xml:space="preserve"> I need to improve my slap shot, quick release, and shooting off the edge.</t>
  </si>
  <si>
    <t>I am good at protecting the puck and carrying it while skating at speed and fake cutbacks.</t>
  </si>
  <si>
    <t xml:space="preserve"> I need to improve my vision and dekes.</t>
  </si>
  <si>
    <t>I am good at following a system, reading the game, and making fairly good decisions.</t>
  </si>
  <si>
    <t xml:space="preserve"> I need to improve my scanning and communication.</t>
  </si>
  <si>
    <t>I am good at receiving the puck on my forehand, receiving the puck while skating, and keeping my head up when passing.</t>
  </si>
  <si>
    <t>I need to work on using my bottom hand because I tend to get stuck with it a lot.</t>
  </si>
  <si>
    <t>I am good at stick work, boxing out, and playing physically.</t>
  </si>
  <si>
    <t>I need to improve my gap control and getting out faster from small areas</t>
  </si>
  <si>
    <t xml:space="preserve">I am good when my temates have the puck because I’m mostly avalivle to get a pass </t>
  </si>
  <si>
    <t>When I have the puck because sometimes I am afraid to do mistakes</t>
  </si>
  <si>
    <t>I am good at protecting the puck and physical battles</t>
  </si>
  <si>
    <t>My balance, my hit technuiqe and taking the puck back</t>
  </si>
  <si>
    <t xml:space="preserve">The D-zone, defensive play, switching the play and breakout </t>
  </si>
  <si>
    <t xml:space="preserve">Attacking play and breakout </t>
  </si>
  <si>
    <t>Moving on the blueline, carrying the puck up the ice and moving with the in the offensive zone</t>
  </si>
  <si>
    <t xml:space="preserve">Always be available as an option, create space for others and always be able to help </t>
  </si>
  <si>
    <t xml:space="preserve">Im good at competeing and I have a good attitude when I win </t>
  </si>
  <si>
    <t>My character sometimes, don’t dwell when I lose or making a mistake and always encougare others</t>
  </si>
  <si>
    <t>Winning mentality</t>
  </si>
  <si>
    <t>Food and warm-up</t>
  </si>
  <si>
    <t>My sleep and my mentality</t>
  </si>
  <si>
    <t>My sleep, recovery and mentality</t>
  </si>
  <si>
    <t>I always try to do my best consider what team I am on</t>
  </si>
  <si>
    <t>My feedback to myself and others when im having a bad day or if i am tired</t>
  </si>
  <si>
    <t>I take it as something positive because I need to know what im doing wrong or right</t>
  </si>
  <si>
    <t>Get to the play offs and win there</t>
  </si>
  <si>
    <t xml:space="preserve">Att jag har haft problem med mina hälar förra säsongen </t>
  </si>
  <si>
    <t>Elina Hellman Borén</t>
  </si>
  <si>
    <t xml:space="preserve">Nothing special, I think im pretty equal on everything </t>
  </si>
  <si>
    <t>Everything, but I want to get faster acceleration because I think I’m slow.</t>
  </si>
  <si>
    <t>I’m good at wrist shots, and shooting hard but I can get so much better at everything</t>
  </si>
  <si>
    <t>I need to develop everything especially walking the blue line and be able to get a quick shot. And also to shoot in the stride because I think that’s a useful skill</t>
  </si>
  <si>
    <t xml:space="preserve">I think I’m good at protecting the puck </t>
  </si>
  <si>
    <t xml:space="preserve">I want to be comfortable with having the puck on my stick so I don’t feel stressed and can make good decisions. </t>
  </si>
  <si>
    <t xml:space="preserve">I think I have good spelförståelse but when I saw all these examples I don’t think I’m that good anymore. </t>
  </si>
  <si>
    <t>I can always get better at everything but scanning is most important I think because knowing what’s going on makes me calmer with the puck</t>
  </si>
  <si>
    <t>I think I’m pretty good at this on everything except maybe small spaces</t>
  </si>
  <si>
    <t>Be able to make good passes in small spaces and stressed situations and already know what I will do when I get the puck</t>
  </si>
  <si>
    <t xml:space="preserve">I think I’m good at 1v1 situations, especially close to the boards. </t>
  </si>
  <si>
    <t>I need to develop gap, because I’m to scared and I always play it safe and start to go home to early. I also need to develop the play infront of the goal and box out. I think that is one of the hardest things.</t>
  </si>
  <si>
    <t>I’m good at the play without the puck since I’m usually playable but sometimes I’m to much of a coward</t>
  </si>
  <si>
    <t xml:space="preserve">I need to develop pretty much everything with playing with the puck. And I think the key to that is being more comfortable </t>
  </si>
  <si>
    <t>I think I’m good at this since I have advantages of my bigger body. I’m good att putting stop in the play as nr 1.</t>
  </si>
  <si>
    <t xml:space="preserve">I need to be better at placing my body right so I don’t end up on the wrong side. </t>
  </si>
  <si>
    <t>I think I follow the system good all the time but most in the d zone except when I’m stressed and the others in my team isn’t following the system.</t>
  </si>
  <si>
    <t>I want to develop a little more in offensive system, like forecheck. Not that in a forward but because if I end up in that situation I need to know how to do it. And of course I can get better at everything.</t>
  </si>
  <si>
    <t>Walking the blue line, taking the puck from the corners or behind the goal in d zone and then make a breakout. Playing 1v 1 with the puck</t>
  </si>
  <si>
    <t>Box out infront of goal, gap control and being placed right and always wanting to have the puck</t>
  </si>
  <si>
    <t xml:space="preserve">When I train I train as good/hard as I can. </t>
  </si>
  <si>
    <t>I need to develop my body language and not show when I’m mad or sad and try to be more positiv all the time</t>
  </si>
  <si>
    <t xml:space="preserve">I want to win and vill to everything to win and I think more of being the best for my team and have better body language </t>
  </si>
  <si>
    <t>I need to develop better body language but ofcorse everything else aswell</t>
  </si>
  <si>
    <t xml:space="preserve">I usually wam up if I have time and I know everything I should do before and after training . I always try to eat good and sleep good and do everything right </t>
  </si>
  <si>
    <t>I’m not good at cool down and usually don’t to it except when we have a game the next day</t>
  </si>
  <si>
    <t>I think more about all of this when it comes to games and try to do everything right and I think I am</t>
  </si>
  <si>
    <t>As well here, I’m not good at cooling down except if we have a game the day after</t>
  </si>
  <si>
    <t>I am absolutely not the best at this but I get better everyday and better at handling everything.</t>
  </si>
  <si>
    <t>I need to develop not to show when I’m having a bad day, and also to know that feedback isn’t always a bad thing.</t>
  </si>
  <si>
    <t>I’m getting better and better every day at reviving negative feedback and of course always love a positive feedback. I can sometimes close down and want to be by myself if I get to much negativ feedback but I’m getting better</t>
  </si>
  <si>
    <t>To get better at everything I’ve have said and do the things I say. And be my best self. But hockey vise that I get better at using my shot and get noticed by it and then maybe play with the A-team</t>
  </si>
  <si>
    <t>I always try my best from what I can that day and I always love if I get tips on things I can do better or when I did somrinf good</t>
  </si>
  <si>
    <t xml:space="preserve">Emmy Andersson </t>
  </si>
  <si>
    <t>The basics, cutbacks and acceleration</t>
  </si>
  <si>
    <t xml:space="preserve">Go backwards, edge kontroll, fart and transisions </t>
  </si>
  <si>
    <t xml:space="preserve">wrist shot and position </t>
  </si>
  <si>
    <t>Slapshot, quick release and onetimer</t>
  </si>
  <si>
    <t>protekt the puck, vision and stick handling</t>
  </si>
  <si>
    <t>Pucktouch, puck in speed, small spaces and fints</t>
  </si>
  <si>
    <t>with out the puck, gamesystom, screena, read the game, kommunikation and scanning</t>
  </si>
  <si>
    <t>Anticipation</t>
  </si>
  <si>
    <t xml:space="preserve">Pases , backhand, forehand and hand-arm placment </t>
  </si>
  <si>
    <t xml:space="preserve">Pases, reciving the puck and skate reciving </t>
  </si>
  <si>
    <t>clubb work, blocking shots and body position</t>
  </si>
  <si>
    <t>Gap control, angling, footwork and boxing out</t>
  </si>
  <si>
    <t xml:space="preserve">Egen my teammate has the puck. Being avalible, positions, kommunikations, scanning and screens. When i have the puck. Scanning, puck protection and accesment </t>
  </si>
  <si>
    <t>When my team mate have the puck. Screens and timing. When i have the puck. Attack and scanning</t>
  </si>
  <si>
    <t xml:space="preserve">Balans, protekt the puck, pysical camps and beliving in myself </t>
  </si>
  <si>
    <t>Boxing out, body kontroll and tackling tecknik</t>
  </si>
  <si>
    <t>Forecheck, backcheck, own zone, defensiv play, middle zone and outplay</t>
  </si>
  <si>
    <t xml:space="preserve">Game shiffting and attack play </t>
  </si>
  <si>
    <t>Strong on the puck, taking Good decisions and always trying to be avalible</t>
  </si>
  <si>
    <t>Help my teammates, 1-5 in deffensiv zone and being pysical</t>
  </si>
  <si>
    <t>always trying to do my best, being a Good teammate and i always Whants to win</t>
  </si>
  <si>
    <t xml:space="preserve">Not being to hard on myself </t>
  </si>
  <si>
    <t>Cheering for my teammates, always wanna win, shift after shift not think about the bad pass i did last shift just fokus on the next shift and body language</t>
  </si>
  <si>
    <t xml:space="preserve">selfconfidens </t>
  </si>
  <si>
    <t xml:space="preserve">Always warming upp Good, eating good, sleeping 9 hours everyday and recovering </t>
  </si>
  <si>
    <t>mentaly and cooldown</t>
  </si>
  <si>
    <t xml:space="preserve">the same ass before training but eat more and taking better care of myself after the game </t>
  </si>
  <si>
    <t xml:space="preserve">Recoveri and mental </t>
  </si>
  <si>
    <t>I always trying to take everyting as it is and not hooking upp on something. Im Good at moving on and do the best of the day</t>
  </si>
  <si>
    <t>Not trying to show my downfalls</t>
  </si>
  <si>
    <t>I want feedback even if its negativ feedback its important and good to know What youre doing good and bad</t>
  </si>
  <si>
    <t>To become better. Be a very good teammate and having fun</t>
  </si>
  <si>
    <t xml:space="preserve">i have been depressed for 4 years but now in on anti- depressive pills but sometimes i got big big downfalls and cant stop crying. I also have the worlds baddest selfconfidens </t>
  </si>
  <si>
    <t>Lili Lindvall</t>
  </si>
  <si>
    <t>I’m good at using deception and escape moves to get away from opponents in tight situations.</t>
  </si>
  <si>
    <t>acceleration so I can reach high speed quickly.</t>
  </si>
  <si>
    <t>I can shoot hard with my wrist shot, slap shot, and one-timer.</t>
  </si>
  <si>
    <t>I need to work on my backhand shot and my accuracy on slap shots.</t>
  </si>
  <si>
    <t>I’m good at protecting the puck when I get around a player or in similar situations.</t>
  </si>
  <si>
    <t>I need to work on my puck handling, dekes, and keeping the puck on my stick in tight spaces.</t>
  </si>
  <si>
    <t>I’m good at reading the game and knowing where players will be, so I know where to pass the puck and where the opponent might pass it.</t>
  </si>
  <si>
    <t>I need to work on my timing and positioning to get open more often.</t>
  </si>
  <si>
    <t>I’m good at passing and receiving the puck, especially on my forehand, and I’m also good at receiving the puck with my skates.</t>
  </si>
  <si>
    <t>I need to improve my backhand passing and receiving.</t>
  </si>
  <si>
    <t>I’m good at boxing out, especially on the penalty kill. I’m good at holding my position, blocking shots, and using my stick to stop passes.</t>
  </si>
  <si>
    <t>I need to improve my gap control. Sometimes when I’m skating backwards, I can get a little too far back.</t>
  </si>
  <si>
    <t>When my teammates have the puck, I’m good at reading the play. If I see a chance for a shot, I go to the net, screen the goalie, and stay there for rebounds.
When I have the puck, I’m good at looking for passes that can create scoring chances, or passes to the defensemen so they can get a shot on net.</t>
  </si>
  <si>
    <t>When my teammate has the puck, I want to improve my positioning and move more freely around the zone to get open.
When I have the puck, I want to improve my attacks on the net. I usually pass the puck, but I want to shoot more and get into scoring positions.</t>
  </si>
  <si>
    <t>I feel that I’m good at body checking and strong in battles.</t>
  </si>
  <si>
    <t>I need to work on my body checking. Sometimes it can look like I’m checking the head even when I’m not.</t>
  </si>
  <si>
    <t>I’m good on the penalty kill and at staying on the right side of my player. I often take the middle lane when we break out, which helps me stay open for a pass.</t>
  </si>
  <si>
    <t>I need to improve my forecheck and get better at forcing the play in the right direction, so my teammates know where the play is going and can get ahead of the opponents.</t>
  </si>
  <si>
    <t>I want to improve my ability to create scoring chances for myself in the offensive zone. When I’m in a 1-on-1 situation, I sometimes don’t know whether to make a move or shoot. I can end up in between and lose the puck.
I also want to improve at making plays when I’m under pressure with the puck in my own zone, without risking a turnover.
I want to get better at taking shots when I have the right opportunity.</t>
  </si>
  <si>
    <t>I want to get better at positioning myself, especially in the offensive zone, so I can get passes that create scoring chances.
I want to get better at pinning opponents against the boards and taking away their passing options when they try to break out.
I want to improve my timing with the defensemen so I can receive passes at speed on a transition.</t>
  </si>
  <si>
    <t>I have good grit and I never give up. I never want to lose a battle, whether it’s in practice or a game.</t>
  </si>
  <si>
    <t>When I have a bad day and things don’t go my way, I can get frustrated.</t>
  </si>
  <si>
    <t xml:space="preserve">I always want to win and never give up, no matter how hard it gets and I have a competitive mindset. </t>
  </si>
  <si>
    <t>I can get frustrated when I give my best but things still don’t go my way.</t>
  </si>
  <si>
    <t xml:space="preserve">I warm up, sleep good and eat good before </t>
  </si>
  <si>
    <t xml:space="preserve">I need to improve my cooldown because I haven’t done that before </t>
  </si>
  <si>
    <t xml:space="preserve">I mostly do the same things but I varm up a bit more before the game </t>
  </si>
  <si>
    <t xml:space="preserve">The same here the cooldown I need to improve on </t>
  </si>
  <si>
    <t>I usually take feedback positively because I know it will make me better. When high demands are expected of me, I try to raise my level to meet them.</t>
  </si>
  <si>
    <t>I need to work on my attitude when I have a bad day or when I’m tired, because I can get irritated easily.</t>
  </si>
  <si>
    <t>I handle feedback well, especially from players and coaches, because they see the game from the inside and know what I need to improve. When my dad analyzes the game in his own way and gives me a lot of feedback, I can sometimes get irritated.</t>
  </si>
  <si>
    <t>My goal this season is to become a more complete and reliable player. I want to improve my game both with and without the puck. I want to create more scoring chances for myself, shoot more, and become better at making decisions with the puck. Without the puck, I want to improve my positioning, timing, and forecheck.
I also want to take more responsibility on the ice and become a player my teammates and coaches can rely on. Most importantly, I want to develop throughout the season, learn from feedback, and keep working hard even when things are difficult.</t>
  </si>
  <si>
    <t>I think I’m pretty good when it comes to speed, and I’d say I’m fairly well-rounded in everything else. I don’t really have one specific area where I stand out the most.</t>
  </si>
  <si>
    <t>I want to improve my acceleration and my ability to carry my speed into transitions. I think developing these areas will help me become more effective in game situations, especially when I need to quickly change direction or move into the next action while maintaining my speed. I also want to be better at cutback.</t>
  </si>
  <si>
    <t>I think one of the strongest parts of my shooting is my accuracy and ability to aim well. I feel confident when it comes to finding the target and placing my shots, but I also know there is still room for improvement in other areas of my shooting. I want to keep developing my technique</t>
  </si>
  <si>
    <t>I want to improve my ability to shoot while cutting or moving into a play. During the summer, I spent a lot of time practicing shooting off one leg, and now that I’m back on the ice, I’ve tried to bring that technique into my shooting. However, it still feels a bit unnatural, and I haven’t fully developed the timing for it yet. I also want to become more comfortable and effective at shooting from different situations and positions, so that I can be more of a threat in game situations.</t>
  </si>
  <si>
    <t>I think I have a kind of good puck control and feel comfortable handling the puck in different situations. I’m usually able to control the puck well while skating at speed, which I think is one of my strengths. I want to keep developing this and become even more confident with the puck under pressure and at high speed.</t>
  </si>
  <si>
    <t>I think I can improve my puck control when I’m under pressure and in stressful situations. I also want to become better at handling the puck in tight spaces, especially when I’m involved in battles or physical situations. Another area I want to work on is keeping my head up more often while handling the puck. I think this would help me see the ice better, make quicker decisions, and be more effective in game situations</t>
  </si>
  <si>
    <t>I think I’m pretty good at reading the game and making decisions based on what I see. I have a relatively good understanding of the team’s systems from last season, which helps me know where to be and what options I have. I also try to make a habit of scanning the ice regularly while I’m playing, and I think I do a good job of doing that consistently. I want to keep improving this so I can make quicker and better decisions in game situations</t>
  </si>
  <si>
    <t>I need to continue developing my game without the puck. I think this part of my game improved during last season, but I still want to keep working on it and become more effective. I also want to improve my ability to read and evaluate the game by anticipating what is going to happen and reacting earlier to different situations. There are also some parts of our team systems that I want to develop further, especially my understanding and execution of the forecheck</t>
  </si>
  <si>
    <t>I think one of my strengths when receiving passes is the positioning and mobility of my bottom hand. I’m able to keep it active and adjust it well when receiving the puck, which helps me control it smoothly. I also feel that I’ve improved my ability to receive the puck while curving or turning as a forward in the defensive zone. I want to continue developing this so I can become more comfortable and consistent in different situations.</t>
  </si>
  <si>
    <t>I need to improve my ability to receive the puck on my backhand from different angles. Right now, I feel like I often struggle to control the puck properly when it comes to my backhand, and I don’t always manage to keep it close to me. I also want to improve my ability to receive the puck with my skates. Lately, I’ve noticed that the puck often gets too far in front of me when I try to control it with my skates, instead of staying close or stopping where I want it to. I want to become more controlled and comfortable with these types of receptions.</t>
  </si>
  <si>
    <t>I think I’m good at getting into the shooting lane when I’m playing in the 4 position. I would also say that I’m fairly good at scanning the ice, both as a 4 and a 5. I try to stay aware of what is happening around me and scan regularly so I can react quickly and make the right decisions when the puck changes position. Then I would also say I’m good att being fast out to be an option for the Ds to pass me</t>
  </si>
  <si>
    <t>I need to become more comfortable playing in positions 1–3. I know what I’m supposed to do in those positions, but I’m still quite inexperienced when I end up there, so I want to build more confidence and consistency. I also think there is a lot of room for improvement when it comes to boxing out in front of the net. I want to get better at using my body and positioning myself properly.</t>
  </si>
  <si>
    <t>When my teammates have the puck, I think one of my strengths is communicating and trying to create space for them, for example by setting screens and positioning myself in good areas. I try to make myself available and create options for the puck carrier. When I have the puck, I think one of my strengths is attacking and trying to move the play forward. I like to be aggressive and look for opportunities to create something offensively.</t>
  </si>
  <si>
    <t>When my teammates have the puck, I can improve by making a more consistent effort to always be available as a passing option. I want to improve my positioning and movement so that I can make myself easier to find and help create more options for the puck carrier. When I have the puck, I want to get better at keeping my head up more often. I think this would help me have better puck awareness, see the ice more clearly, and make better decisions with the puck</t>
  </si>
  <si>
    <t>I think I’ve improved a little bit in physical battles compared to last season, and I especially feel that I’ve become stronger. I’m a bit more comfortable using my body and competing in these situations.</t>
  </si>
  <si>
    <t>I need to improve my balance, body control, and overall technique in physical battles, both with and without the puck. I think there is a lot of room for improvement in these areas, especially when it comes to maintaining my balance and using my body effectively. I also want to become better at winning the puck back during battles and being more effective at regaining possession once I’ve lost it</t>
  </si>
  <si>
    <t>I think I handle most situations fairly well, except for the neutral zone pressure and forechecking. I feel that both areas improved throughout last season, but I still think I can get more out of them and become more effective. I want to continue developing my understanding of these situations and improve my positioning and decision-making so I can contribute more consistently</t>
  </si>
  <si>
    <t>I want to improve my forechecking, especially my ability to angle the opponent and force them into the areas I want. I also want to become more confident and consistent in the neutral zone pressure. I think improving these areas will help me read the play better, make quicker decisions, and be more effective defensively</t>
  </si>
  <si>
    <t>When I have the puck in our defensive zone and I’m starting the breakout, I want to have more options for how to attack the defenseman. I want to be more confident in challenging them in different ways instead of always taking the same option.
When I receive the puck along the boards in our defensive zone, I find it to be a difficult situation because the defenseman is usually right in front of me. I want to become better at handling these situations, protecting the puck, and finding the best way out.
When I’m forechecking and get to the puck before the defenseman in the corner or along the boards, I want to become better at knowing what to do next. I want to be more effective at using that advantage to create a play or keep possession.</t>
  </si>
  <si>
    <t>When forechecking, I want to improve my ability to close off the boards and recognize when I should turn in and angle the defenseman. I want to be more consistent with my timing and positioning so that I can put more pressure on the puck carrier.
In our defensive zone, when I’m playing in the 4 position, I want to be more active and involved in the play.
 I also want to have a clearer understanding of what I should do when I’m the third player entering the offensive zone, so I can make better decisions and contribute more effectively to the attack.</t>
  </si>
  <si>
    <t>I always want to win and I Will always do my best to try to win</t>
  </si>
  <si>
    <t>I need to have a better bodylanguage when its not going how i want</t>
  </si>
  <si>
    <t xml:space="preserve">Same here, I Will always do Everything to win. I think Im good at pushing other people </t>
  </si>
  <si>
    <t>Same, I need better bodylanguage when its not going how I want it to go.</t>
  </si>
  <si>
    <t xml:space="preserve">I take my preperations seriously everyday. Food, sleep, warm up, warm down and I think I have good knowledge in this </t>
  </si>
  <si>
    <t xml:space="preserve">I really need better mental preparations. </t>
  </si>
  <si>
    <t>I take my preperations very seariously.</t>
  </si>
  <si>
    <t>I think I can always be better at this but I have a solid preparation.</t>
  </si>
  <si>
    <t>I think I have gotten better at hiding how I feel. Im better at not getting to stuck on mistakes.</t>
  </si>
  <si>
    <t>I need to get better at letting go of mistakes and not being so hard on myself. Sometimes when I make a mistake, I immediately judge myself and focus too much on what I did wrong instead of moving on to the next play. I’m very hard on myself on a daily basis, and I want to learn how to be more positive and constructive with myself. I think this would help me stay more focused, confident, and mentally strong during games.</t>
  </si>
  <si>
    <t>I handle it good, I love feedback</t>
  </si>
  <si>
    <t>My goal this season is to develop and become a better player than I was last season. I also have a goal to be better at the mental part so that I can enjoy the progress of becoming the hockey player I want to be. Its so much I want to be better at but mostly I want to be More confident with the puck and as a player overall.</t>
  </si>
  <si>
    <t xml:space="preserve">Im very hard on myself every single practice and day </t>
  </si>
  <si>
    <t>Ellen Nilimaa</t>
  </si>
  <si>
    <t xml:space="preserve">Cutback, speed, transition </t>
  </si>
  <si>
    <t xml:space="preserve">Explosiveness, starts </t>
  </si>
  <si>
    <t xml:space="preserve">Wristshoot, timing </t>
  </si>
  <si>
    <t xml:space="preserve">Onetimer, backhand </t>
  </si>
  <si>
    <t xml:space="preserve">Skates, cutback, small areas, pucktouch </t>
  </si>
  <si>
    <t xml:space="preserve">The look, protect the puck </t>
  </si>
  <si>
    <t>Read the game, decision making</t>
  </si>
  <si>
    <t xml:space="preserve">Kommunikation </t>
  </si>
  <si>
    <t xml:space="preserve">Forehand, passing, receptions </t>
  </si>
  <si>
    <t xml:space="preserve">Backhand, look </t>
  </si>
  <si>
    <t xml:space="preserve">Stickwork, transitions </t>
  </si>
  <si>
    <t xml:space="preserve">Gap control, </t>
  </si>
  <si>
    <t xml:space="preserve">Playability, puck responsibility, attack </t>
  </si>
  <si>
    <t xml:space="preserve">Look </t>
  </si>
  <si>
    <t xml:space="preserve">Battles, puck recovery </t>
  </si>
  <si>
    <t xml:space="preserve">Backcheck, forecheck, offensive play </t>
  </si>
  <si>
    <t xml:space="preserve">Neutral zon, defensive zon </t>
  </si>
  <si>
    <t xml:space="preserve">The look, backhand shoot, protect the puck </t>
  </si>
  <si>
    <t xml:space="preserve">Kommunikation, cover the puck, cover an oppenent </t>
  </si>
  <si>
    <t xml:space="preserve">Competition, competitive drive,  </t>
  </si>
  <si>
    <t>Grit</t>
  </si>
  <si>
    <t xml:space="preserve">Competition, competitive drive, </t>
  </si>
  <si>
    <t xml:space="preserve">Body language </t>
  </si>
  <si>
    <t xml:space="preserve">Diet, warm up, sleep </t>
  </si>
  <si>
    <t>Mindset, recovery</t>
  </si>
  <si>
    <t xml:space="preserve">Mindset, recovery </t>
  </si>
  <si>
    <t xml:space="preserve">Listening </t>
  </si>
  <si>
    <t xml:space="preserve">To be glad </t>
  </si>
  <si>
    <t xml:space="preserve">I handle both positive and negative feedback well </t>
  </si>
  <si>
    <t>To improve</t>
  </si>
  <si>
    <t xml:space="preserve">Hannah Olofsson </t>
  </si>
  <si>
    <t>I feel unsure about most things when it comes to skating. One thing I do feel a little more confident about is skating backwards. I feel stable when skating backwards, and I feel like I can still pick up speed and move fairly quickly.</t>
  </si>
  <si>
    <t>I want to improve my outside edges because I don’t feel very stable when skating on them. This makes it harder for me to get a good frånvändning and generate enough power. I also want to improve my transitions from forward to backward skating. I feel like I often lose speed when making these transitions, so I want to become smoother and more efficient when changing direction.</t>
  </si>
  <si>
    <t>I would say that I have a good slap shot. I feel kinda confident with it.</t>
  </si>
  <si>
    <t>I want to improve my wrist shot from the blue line. I want to be able to take a quick and accurate wrist shot from the blue line. I also want to develop this skill so that I can do it from both sides, with my hips facing towards the goal or away from the goal.</t>
  </si>
  <si>
    <t>I would say that I do a good job of protecting the puck in most situations.</t>
  </si>
  <si>
    <t>I often struggle with my puck touches. I sometimes have trouble receiving the puck cleanly, which causes it to bounce away from me. I also tend to lose control of the puck or fumble with it when carrying it. I want to improve my puck control so that I can keep the puck on my forehand and have better control of it. This would allow me to make passes or take shots right away without needing an extra touch to get the puck into the right position.</t>
  </si>
  <si>
    <t>I would say that I read the game well. I can often see where the play is going and make good decisions based on that. I also find it easy to read my forwards, which helps me time my positioning and movements better. This allows me to anticipate the opponent and steer them towards the outside.</t>
  </si>
  <si>
    <t>I think my positioning and play without the puck are areas that I could improve. I sometimes feel like I get too far away from my opponent in the defensive zone, which gives them more time to make decisions with the puck before I can close them down. I want to improve my positioning so that I can stay closer to my opponent and put more pressure on them.</t>
  </si>
  <si>
    <t>I would say that I have a good forehand pass and can usually put the puck right on my teammate’s stick. I also have good awareness and can find the simple and effective passing options.</t>
  </si>
  <si>
    <t>I would say that I need to improve my receptions. I often feel like I lose control of the puck or let it get too far away from me when receiving it. I also want to improve my bottom-hand control so that I can have better control of the puck and make quicker plays.</t>
  </si>
  <si>
    <t>I would say that my biggest strength is my defensive play. I have good gap control and I am comfortable stepping up and challenging opponents. I am also good at keeping my stick in one hand while maintaining good body positioning. I stay on the right side of the opponent and do a good job of keeping players to the outside.</t>
  </si>
  <si>
    <t>I need to improve my stick work and positioning in front of the net, especially when defending against players in front of the goal. I need to be stronger and more physical in front of the net, taking away my player while also using my stick effectively to take away their stick and passing options. At the same time, I need to make sure I don’t screen or interfere with my own goalie when the shot comes.</t>
  </si>
  <si>
    <t>I would say that I always try to make myself available for my teammates by finding open space and communicating. I am good at finding simple and effective passing options, and I have good awareness of the game and can see the play developing.</t>
  </si>
  <si>
    <t>I need to improve my timing and learn to time my movements better with my teammates so that I can receive the puck while skating at speed. I don’t want to have to stop and wait for the puck. I also want to improve my puck management by always having a purpose with the puck instead of just throwing it away. I want to become more comfortable holding onto the puck until I have a good passing or shooting option, rather than always getting rid of it at the first opportunity. I want to be able to carry the puck into the play and wait for a better option to develop.</t>
  </si>
  <si>
    <t>I would say that I am good in physical battles. I am not afraid to compete for the puck and I am almost always on the right side of my opponent. I do a good job of stopping plays and using my body to defend. I am also good at boxing out opponents and keeping them away from the net when defending in the corner.</t>
  </si>
  <si>
    <t>I want to improve my ability to protect the puck, especially in the defensive zone. I want to be able to get to the puck and protect it effectively in the corners, even when I have an opponent putting pressure on me. I also want to become better at protecting the puck in other situations by maintaining good balance and using my body to keep the opponent away from the puck.</t>
  </si>
  <si>
    <t>When it comes to defensive play, I would say that I have a good understanding of our defensive system. I stay on the right side of my opponent and make sure to account for all the players on the ice. I use the 1-2-3-4-5 system and scan the ice with my eyes to stay aware of what is happening around me.</t>
  </si>
  <si>
    <t>I feel less confident in my offensive play. I sometimes feel unsure about where I should be positioned and what I should do in different situations. This can make me hesitate and prevent me from supporting my teammates as effectively as I could. I want to become more confident in my positioning and decision-making so that I can be more involved and help my teammates in the offensive zone.</t>
  </si>
  <si>
    <t>In the defensive zone, when I have the puck in the corner and a player is putting pressure on me from behind, I want to improve my ability to use cutbacks and turns to create separation. I want to be able to use the net to protect the puck, or fake going one way and then quickly turn and go the other way to escape the pressure and make a good play.
I want to be able to carry the puck along the blue line while keeping it on my forehand so that I can quickly make a pass or take a shot on goal. I also want to improve my skating so that I can carry the puck along the blue line with better control, speed, and confidence.
When I receive the puck in the neutral zone and skate backwards with it, I want to feel more confident and comfortable in that situation. I want to be able to stay calm and create time and space for my teammates by allowing the opponents to come closer to me before making a pass. I also want to improve my ability to make passes while skating backwards, especially to a teammate who is coming with speed.</t>
  </si>
  <si>
    <t>In the defensive zone, in front of the net, I want to improve my ability to box out my player when they come from the corner towards the net. I want to stay close to them and maintain good positioning, so that if they don’t receive the puck, I can still keep them away from the net. If they do receive the puck, I want to be able to quickly step in, stop them, and steer them towards the outside.
I want to improve how I present myself as an option for my defense partner in the defensive zone. I want to become better at deciding whether I should show behind the net or stay in front and be available for a reverse. I sometimes feel unsure and can make the wrong decision, which can make me less available for my defense partner. I want to become more confident in my decisions and consistently make myself available as a passing option.
I also want to improve my play without the puck in the offensive zone. When my defense partner has the puck, I want to be more confident staying at the blue line and becoming an extra option in the middle of the ice. I want to trust my defense partner more and avoid backing away from the play. Instead, I want to stay in a good position, make myself available, and be ready to receive the puck.</t>
  </si>
  <si>
    <t>I love competing and I give everything I have in every situation to try to win. I am always looking for ways to improve and become stronger so that I can win more battles, especially in physical situations and puck battles. I have a strong competitive mindset and always want to give my best to help my team.</t>
  </si>
  <si>
    <t>I can sometimes show a little frustration through my body language when something doesn’t go well. It is not something I do a lot, but I might let my head drop for a few seconds after making a mistake. I really want to eliminate this completely. It is okay to feel disappointed with something I have done, but I don’t want to show it through my body language. I want to learn to reset quickly, stay positive, and focus on the next situation.</t>
  </si>
  <si>
    <t>What I do in practice, I bring into games. I always try to practice with the same intensity and focus that I would have in a game. I give 100% in every situation and compete in every battle. I am willing to sacrifice myself for the team and do whatever I can to help us win. I always give everything I have for my teammates and the team.</t>
  </si>
  <si>
    <t>I want to improve my ability to reset after a shift that doesn’t go well. It doesn’t happen often, but I don’t want to let my head drop or dwell on a mistake. I want to be able to quickly reset, move on, and focus fully on my next shift.</t>
  </si>
  <si>
    <t>I always make sure to warm up properly before a game, and I make sure that I have eaten and slept well. I also find it easy to switch off when I arrive at the rink. Everything I might be stressed about, such as homework, disappears when I get to the rink, which allows me to relax and fully focus on hockey before I step onto the ice.</t>
  </si>
  <si>
    <t>It depends on how much I have going on after practice. If I have a lot of schoolwork, I sometimes skip my cool-down because I feel like I need to get home and study. I need to improve this and make sure that I always take the time to do my cool-down. I also need to make sure that I bring something to eat between strength training and ice practice so that I have enough energy for both.</t>
  </si>
  <si>
    <t>I make sure to fuel myself well on game days and always make sure that I have slept well. I do a proper warm-up before the game and always bring something to eat during and after the game to make sure I have enough energy and recover well.</t>
  </si>
  <si>
    <t>I also want to improve my cool-down routine and make sure that I do a proper cool-down after every game. This is especially important when I have something the next day, so that I can recover as well as possible and be ready for the next day.</t>
  </si>
  <si>
    <t>I find it easy to take feedback, no matter what it is about or who it comes from. I see feedback as an opportunity to improve and develop. I am also good at letting go of things when I step onto the ice. For example, if I haven’t slept well, I don’t let that affect my mindset once I’m on the ice. I focus on what is happening in the moment and give my best. I may feel tired physically, but I keep working and make the most of the situation. There will always be games where I am tired, and I think it is important to be able to maintain a high intensity and keep competing regardless.</t>
  </si>
  <si>
    <t>One thing I want to improve is the pressure I put on myself. If I make a bad pass or make a mistake, I can sometimes be too hard on myself. I can put a lot of pressure on myself to perform and do everything right. I want to become better at accepting mistakes, learning from them, and moving on without letting them affect the rest of my game.</t>
  </si>
  <si>
    <t>I handle all types of feedback well. I take it in and try to apply it to my game. I see feedback as an opportunity to improve and develop, and I make sure to take what I learn from it and bring it into my game.</t>
  </si>
  <si>
    <t>My goal for this season is to develop both as a player and as a person. I want to become a better and more involved defenseman who can contribute to the team in different ways. I also want to become more confident in my skating and feel comfortable using my skating in all situations. Overall, I want to become a more complete player and continue developing every part of my game.</t>
  </si>
  <si>
    <t xml:space="preserve">No </t>
  </si>
  <si>
    <t xml:space="preserve">Novalie Wisén </t>
  </si>
  <si>
    <t>backwards, begin</t>
  </si>
  <si>
    <t xml:space="preserve">acceleration, balans on one leg and 2 legs </t>
  </si>
  <si>
    <t>Backhand shot with the hip turned away from the goal, timing, wrist shot</t>
  </si>
  <si>
    <t>shooting technique, slap shot, quick release, positioning, backhand shot</t>
  </si>
  <si>
    <t>escape turns, protect the puck and look for an outlet</t>
  </si>
  <si>
    <t>tight spaces, dekes, carry the puck up the ice myself</t>
  </si>
  <si>
    <t>quick decisions, position, read the game</t>
  </si>
  <si>
    <t>Screens, communication, scanning, timing</t>
  </si>
  <si>
    <t>make forehand passes, receiving the puck on forehand, receiving the puck with my skate</t>
  </si>
  <si>
    <t>receiving the puck on backhand, make backhand passes, moving the bottom hand on the stick, tight spaces</t>
  </si>
  <si>
    <t>gap control, angling, tie up sticks in the crease, forward to backwards transitions, pick up opposing players</t>
  </si>
  <si>
    <t>box out opposing players, stick 1 vs 2 hands, footwork</t>
  </si>
  <si>
    <t xml:space="preserve">Assess the situation and make a quick decision, communication </t>
  </si>
  <si>
    <t>playability, screens, scanning, attack,  positionering</t>
  </si>
  <si>
    <t>protect the puck, bodycontrol</t>
  </si>
  <si>
    <t>box out, balans, puck recovery</t>
  </si>
  <si>
    <t xml:space="preserve">backcheck, forecheck, defensive play, transition </t>
  </si>
  <si>
    <t>offensive play, breakout</t>
  </si>
  <si>
    <t xml:space="preserve">puckcontrol at the offensive blue line, puckcontrol at small spaces like when I win the puck or get the puck in defensive zone (what do I do next), have the confidence to carry the puck up the ice </t>
  </si>
  <si>
    <t>2 on 1 defense/ 1 on 1 defense, box out, be available for a pass in the offensive zone</t>
  </si>
  <si>
    <t xml:space="preserve">competitive mindset, body language, compete, cheers for the team </t>
  </si>
  <si>
    <t xml:space="preserve">Have the confidence to take initiative, perform consistently regardless no matter how I feel </t>
  </si>
  <si>
    <t xml:space="preserve">Competitive mindset, good body language, cheers for the team, try to be positive, always compete </t>
  </si>
  <si>
    <t>Not let other people's moods affect me negatively</t>
  </si>
  <si>
    <t>always eat and drink before practise, i sleep the hours I need to perform, getting warm before practise</t>
  </si>
  <si>
    <t>recovery (I didnt practise this much before)</t>
  </si>
  <si>
    <t xml:space="preserve">I sleep enough, I eat and drink enough, I prepare mentally, I warm up before every game and cool down after every game </t>
  </si>
  <si>
    <t xml:space="preserve">recovery after a game </t>
  </si>
  <si>
    <t xml:space="preserve">I try to stay positive, focus on the things I do good to keep on going </t>
  </si>
  <si>
    <t xml:space="preserve">Not being so hard on myself, if I do a mistake try not to think about that and just keep on going </t>
  </si>
  <si>
    <t xml:space="preserve">I take it and listen to it beacuse I want to learn and be a better hockey player, be the best version. </t>
  </si>
  <si>
    <t xml:space="preserve">My goal is to develop as a hockey player, improve in the areas I have mentioned, and help the team move forward. I want to contribute to winning games, while also developing and improving together as a team. </t>
  </si>
  <si>
    <t>I am very hard on myself, which can be both positive and negative. Because of this, I sometimes need a little time after a game to reflect on the game by myself.</t>
  </si>
  <si>
    <t>Evita Rosengren</t>
  </si>
  <si>
    <t>I am good at creating speed from a standstill. I am good at maintaining a strong basic skating position. I can use transitions effectively.</t>
  </si>
  <si>
    <t>I need to improve on using my push-offs in more situations. I need to be able to scan during transitions and scan more often, especially in uncomfortable situations.</t>
  </si>
  <si>
    <t>I need to improve my pull-in shots and 90-degree shots, as well as my wrist shots and slap shots. I have gotten much better at looking up when I shoot. I always keep my eyes on the net and pay attention to what the goalie is doing.</t>
  </si>
  <si>
    <t>What I need to improve is taking a quick release instead of handling the puck too much before shooting. I need to practice shooting while skating and work on getting more power and elevation on my backhand shots</t>
  </si>
  <si>
    <t>I am good at stickhandling, handling the puck at speed, and keeping my head up while carrying the puck.</t>
  </si>
  <si>
    <t>I need to improve my ability to protect the puck, especially along the boards. I need to work on using more fakes and becoming more creative when handling the puck in tight spaces. I need to practice receiving the puck on my backhand and keeping my bottom hand loose.</t>
  </si>
  <si>
    <t>I am good at communicating with my teammates, and I am good at following our team system.</t>
  </si>
  <si>
    <t>I need to improve my timing and screen more in different situations. I also need to improve my scanning and scan more often in different situations.</t>
  </si>
  <si>
    <t>I am good at receiving the puck on my forehand while skating at speed. I am also good at receiving the puck with my skates, both while standing still and while skating. I used to struggle with keeping my bottom hand loose, but I have practiced a lot, and it is now much looser and improving all the time.</t>
  </si>
  <si>
    <t>I need to improve my backhand receiving, especially being able to receive the puck on my backhand at high speed. I also need to continue working on keeping my bottom hand loose.</t>
  </si>
  <si>
    <t>In my defensive game, I am good at staying on the right side of the opponent. I have good body positioning, stick work, and stick placement.</t>
  </si>
  <si>
    <t>I need to improve my ability to box out. I also need to practice angling more and improve my timing when angling</t>
  </si>
  <si>
    <t>When my teammate has the puck, I am good at communicating, making myself available for a pass, positioning myself so that my teammates can play the puck to me, and scanning while my teammate has the puck.</t>
  </si>
  <si>
    <t>I need to improve my screens and my timing in all situations so that I can get into better positions. I also need to use my eyes more and improve my scanning.</t>
  </si>
  <si>
    <t xml:space="preserve"> I am good at giving my all in battles and at using proper body-checking technique.</t>
  </si>
  <si>
    <t>I need to improve my ability to protect the puck, have better body control in battles, be stronger on the puck, and be able to keep possession under pressure.</t>
  </si>
  <si>
    <t>I would say that I handle all situations well and adapt to our team system</t>
  </si>
  <si>
    <t>I need to improve my ability to read the game better during transitions and find better ways to get to the net in the offensive zone. I also need to make simpler and quicker decisions.</t>
  </si>
  <si>
    <t>I need to improve my ability to get to the inside, take responsibility with the puck, find good passing options, and shoot when the opportunity is right. I also need to improve my ability to protect the puck in battles.</t>
  </si>
  <si>
    <t>I need to improve my ability to screen and support my teammates in those situations. I also need to get better at winning battles along the boards and around the net. Finally, I need to improve my ability to read the play and recognize when to pressure the opposing defensemen in our defensive zone.</t>
  </si>
  <si>
    <t>I am good at competing, giving my all in every situation, and motivating my teammates.</t>
  </si>
  <si>
    <t>I want to improve my body language when I get disappointed with myself. I also want to stop swearing and learn to stay calm and quiet instead.</t>
  </si>
  <si>
    <t>I always want to win in every situation, and I am very encouraging and supportive of my teammates.</t>
  </si>
  <si>
    <t>I need to improve my body language and stop being negative towards myself. I need to be more positive and stop putting myself down.</t>
  </si>
  <si>
    <t>What I do well to prepare for training is that I warm up properly and make sure I have eaten well throughout the day, including a proper breakfast and all my meals. I also try to go to bed on time and prepare myself mentally by always aiming to make each training session better than the last. I always make sure to cool down properly after training.</t>
  </si>
  <si>
    <t>I need to develop my mentality by being more positive towards myself and stop being so negative towards myself.</t>
  </si>
  <si>
    <t>I always give my all in every situation. Even when I have a bad day or something feels challenging, I push myself and keep working hard.</t>
  </si>
  <si>
    <t>I want to get better at being kinder to myself when I make mistakes or have a bad day.</t>
  </si>
  <si>
    <t>I handle feedback well and take it positively from my coaches and teammates.</t>
  </si>
  <si>
    <t>My goals for this season are to have a strong mentality, get the opportunity to train with the women’s team and be around them as much as possible, and ultimately win the Swedish Championship gold medal.</t>
  </si>
  <si>
    <t>It may be good to know that I had a difficult time with my family last season, and it affected me quite a lot. Things have gotten better now, and I try to put it aside when I am at the rink so that I can focus on hockey. I can also be very negative towards myself and put myself down, especially when things do not go the way I want.</t>
  </si>
  <si>
    <t>Im kind of good att cutback and have pretty god edge work.</t>
  </si>
  <si>
    <t>My speed and acceleration and backwards skating. It take time to come upp to topp speed and that is because of the acceleration not being so good. my top speed is not as fast as I want to be so I want to develop that. My transition is good but im not so good at skating backwards so I can’t keep the speed when I do the transition</t>
  </si>
  <si>
    <t>I have good shooting teknik and can make different shooting teknikes and I have a quick realease</t>
  </si>
  <si>
    <t xml:space="preserve">I have to work on timing and shoot when I have optertiuniti not pass it away. Then my shot in the stride is not good sometimes I get it but I want it to be consistent. And my shoot is not so hard </t>
  </si>
  <si>
    <t>This is my strongest aspect I think I’m good att shielding the puck have a good stick and puck controle very good at smal spaces and can have my head upp very often and have good skills and have good foot skills whit the puck I can take a pass whit my foot whitout problem on the inside and outside skate</t>
  </si>
  <si>
    <t>First tustch i need to work on sometime i hit it to hard ad it goes away and to skate with the puck while having it on my stick i need to work on. And in cutbacks to have more control of the puck. And also work on moving my hads on the stick</t>
  </si>
  <si>
    <t>I think i have good sens overall i think i understand the playbook pretty good. I Scan good. I think i red the game well  i understand when i should do screans but sometimes i dont do it. I think i comunikate well</t>
  </si>
  <si>
    <t>Sometimes i do risky tings and i need to work on when it’s good and not. and to be more of a helpfull teamemate by doing more screans</t>
  </si>
  <si>
    <t xml:space="preserve">Im good att reciving the puck on for and backhand and I’m good at taking it whit my skate and i dont need to look at the puck so much and I’m mobile so i can take it in akward positions </t>
  </si>
  <si>
    <t xml:space="preserve">I need to work on passing harder on forhand and backhand and to flipp pass </t>
  </si>
  <si>
    <t xml:space="preserve">Im kind of good att angling and kind of good fotwork </t>
  </si>
  <si>
    <t xml:space="preserve">to put the stop i need to work on and to have the stick in one hand </t>
  </si>
  <si>
    <t>I have good positioning comunikate well i have puck responsebileti Scan and often se where my teammates are and often want to attack and do smart solutions to do good plays</t>
  </si>
  <si>
    <t>I should be more playeble for my teammates and help my teammates mor by doing screans and do the easy pass first then maby do harder things</t>
  </si>
  <si>
    <t xml:space="preserve">Im god att protecting the puck and taking back the puck I have good bodycontroll </t>
  </si>
  <si>
    <t xml:space="preserve">I need to work on my balance so I don’t fall. duells i need to work on i need to be better att tackling and taking the body </t>
  </si>
  <si>
    <t>I understand moste of it I’m good at brake outs and attacking and I understand backchek</t>
  </si>
  <si>
    <t>I forget to do it some times and have to improvise so I need to think about it more often</t>
  </si>
  <si>
    <t>When i skate whit the puck i want to be able to do it without hitting the puck intront of me i just want to hav it on the stick and skate fast. I want to be better att looking upp while having the puck so i can pass and shoot without looking at it. Want to be better at positioning so I can get the puck and have time and space to do whatever I want</t>
  </si>
  <si>
    <t xml:space="preserve">I want to be better at stopping opponent on the wall and put the stop. To block shots I want to get better at coming in the shooting line. And to angel a player to the boards </t>
  </si>
  <si>
    <t>I always want to win and even if we are losing I want to make plays and try to score. I try to not get angry and hit my stick in the ice. Character is I want to be a leader and people to think I’m a good example and be the best everytime</t>
  </si>
  <si>
    <t>Don’t get mad so easely sometimes when it goes bad I shut down and it get worse and worse for every set. I shot away pucks when we are bad and not winning and if I’m bad and there because I always want to be best and win. Sometimes I’m a bad winner so I need to change that and not be so annoying when we have won</t>
  </si>
  <si>
    <t xml:space="preserve">I want to win my duels and do the best I can and I’m not afraid of anybody and I always want to beat my opponents. I love to play tuff matches because that shows my full potential </t>
  </si>
  <si>
    <t xml:space="preserve">To not get so angry when it’s not going so well and try to calm down </t>
  </si>
  <si>
    <t xml:space="preserve">I warm upp if we don’t have fys before the ice I know a lot about nutrition and food I understand they I have to eat a lot and I’m not afraid of going upp in weight. I’m mentally strong I have deald whit a lot of pressure and hard times so I have a bulletproof minde nobody can irritate me and make me sad. I understand training and the importance of recovery so when it’s rest day I rest </t>
  </si>
  <si>
    <t>I need to be better at eating and have a better sleeping schedule because I have a lot of school this year so I need to keep up and not be so tired. I will be noting cool down more often than now.</t>
  </si>
  <si>
    <t>I try to sleep enough so I get a good sleep so I can perform and try to eat a lot of carbs before and I prepare my minde for what I’m going to do and think about the opponents.</t>
  </si>
  <si>
    <t>Sometimes I wake upp late so I only have time for lunch but I should wake up and eat bracfaste so I get enough of energy</t>
  </si>
  <si>
    <t>I’m not crazy about points I want to Win and help the team as much as I can I want to carry and not be carried by my teammates if I miss a lot of canes that my teammates are giving I feel like I’m letting them and the team down. I wan to create chances for my temates and if it’s a good team I fokus on defense if offense is too hard. I want to be the change I want to be imortant</t>
  </si>
  <si>
    <t>I often get mad when I’m tired and many drag the energy down so I will be focusing on not showing that I’m tired or mad</t>
  </si>
  <si>
    <t>I’m good with feedback I don’t get sad if it’s something negativ and I don’t care that the coach nag(tjatar)I try to change ad do what they say. I get happy when I here positive thing and think about them</t>
  </si>
  <si>
    <t>Now I got reserved for u18 I want to play u18 and be one of the best on that team. I want to play sdhl as much as I can and to win with dam jun every match and go to the playoffs and win it all</t>
  </si>
  <si>
    <t xml:space="preserve">Jag klarar av hög träningsbelastning </t>
  </si>
  <si>
    <t>Emmy Tjärnlund</t>
  </si>
  <si>
    <t xml:space="preserve">    transitions, edge control and backward</t>
  </si>
  <si>
    <t>Starts, acceleration, cut backs, speed</t>
  </si>
  <si>
    <t>Wrist shot, timing</t>
  </si>
  <si>
    <t xml:space="preserve">Shoothing of the edge, positioning, quick release </t>
  </si>
  <si>
    <t>Protect the puck and small spaces, puck in speed</t>
  </si>
  <si>
    <t>stickhandling and dekes, pucktouch</t>
  </si>
  <si>
    <t>Timing, screens, communication, and scanning.</t>
  </si>
  <si>
    <t>Off-puck play, reading the game, and decision-making.</t>
  </si>
  <si>
    <t>Passing, head-up awareness, and playing in tight spaces</t>
  </si>
  <si>
    <t>Skating receptions, receiving, and bottom-hand control, backhand</t>
  </si>
  <si>
    <t>Stick positioning and transitions, angling</t>
  </si>
  <si>
    <t>body positioning gap control</t>
  </si>
  <si>
    <t>Teammate has the puck- Getting open and being available for the puck, communication, scaning
Has the puck- scaning attack</t>
  </si>
  <si>
    <t>Teammate has the puck- postionoring, timing
Has the puck- puckresponsibiliti,  Reading the situation and making decisions</t>
  </si>
  <si>
    <t>Puck protection, battles, and balance.</t>
  </si>
  <si>
    <t>Body control and puck retrieval.</t>
  </si>
  <si>
    <t>Forecheck, backcheck, own zone</t>
  </si>
  <si>
    <t>Offensive play, neutral-zone pressure, and breakout.</t>
  </si>
  <si>
    <t xml:space="preserve">Puck control while skating, finding open space, and creating passing or shooting opportunities.
Scanning while carrying the puck.
Keeping my head up more.
</t>
  </si>
  <si>
    <t>Finding open space
Closing down space and boxing out opponents.
Stopping the play as quickly as possible</t>
  </si>
  <si>
    <t>Compete, winning mentality</t>
  </si>
  <si>
    <t>Body language some times when it dont gode as i pland</t>
  </si>
  <si>
    <t>Winning mentality and competitiveness.</t>
  </si>
  <si>
    <t>Grit, body language</t>
  </si>
  <si>
    <t>Warm up, coledown and often sleep</t>
  </si>
  <si>
    <t>Mental</t>
  </si>
  <si>
    <t xml:space="preserve">Warm up, food sleep cole down </t>
  </si>
  <si>
    <t xml:space="preserve">Recovery, </t>
  </si>
  <si>
    <t>I keep competing and give my best effort every day in training, even when things aren’t going well or I’m tired. I also encourage my teammates and remind them that the game isn’t over, even when we’re behind.</t>
  </si>
  <si>
    <t>Letting go of mistakes and bad moments more quickly instead of letting them build up, and moving on to the next play. When I get frustrated, I stay composed and make sure it doesn’t affect the people around me.</t>
  </si>
  <si>
    <t>I try to accept both positive and negative feedback so I can improve, and I take time to reflect on it and use it to become better.</t>
  </si>
  <si>
    <t>Developing both on and off the ice so I can help the team in the best way possible.</t>
  </si>
  <si>
    <t>Stella Karlström</t>
  </si>
  <si>
    <t>Basic position</t>
  </si>
  <si>
    <t>Like all but mostly acceleration and starts, also turns (mostly to the right)</t>
  </si>
  <si>
    <t>I am happy with my shooting technique and finishing overall, my wrist shot and direct shot.</t>
  </si>
  <si>
    <t>Want to get better at shooting in the cut and learn to shoot in awkward situations where the puck and body aren't always in the right place</t>
  </si>
  <si>
    <t>Is good at club handling, eye contact and puck movement</t>
  </si>
  <si>
    <t>Want to get better at protecting the puck, small areas such as corners, feints, skates and turns</t>
  </si>
  <si>
    <t>Always been told that my understanding of the game is good, I still think I know the system and can follow it to a large extent, I've gotten better at scanning, reading the game, timing and communication have also gotten better now</t>
  </si>
  <si>
    <t>Want to get better at decision making and not get too stressed when you don't have anyone to pass to and can hold the puck anymore. Want to get better at screens too</t>
  </si>
  <si>
    <t>Is good at passing and receiving on both forehand and backhand speed and standing still. The gaze is also good and mobile with the hands</t>
  </si>
  <si>
    <t>Want to get a harder backhand pass and skate receptions</t>
  </si>
  <si>
    <t>Gap is still okay sometimes, but safe is usually too much.</t>
  </si>
  <si>
    <t>I want to get better at most things, such as angling, body positioning, footwork, transitions and boxing out. It can be a bit difficult to box out when I'm so small and face a bigger one, so I want to improve on those.</t>
  </si>
  <si>
    <t>When I have the puck, I can still hold the puck and get to the goal or scan and find a good pass. And when teammates have the puck, I try to find a surface that makes me playable, shout as much as I can for the puck or to help teammates know what's going on. And I'm good with my eyes.</t>
  </si>
  <si>
    <t>I want to get better at puck response and attack when I have the puck. When teammates have the puck, I want to get better at screens and timing.</t>
  </si>
  <si>
    <t>Is good at balance, body control and quite good at tackling techniques</t>
  </si>
  <si>
    <t>Want to get better at boxing out, protecting the puck and close-quarters and getting the puck back</t>
  </si>
  <si>
    <t>I can forecheck and own zone well and know how the system works. Backcheck as much as I can and find the right position in the defensive zone. If the first pass is good, I usually get over the blue line from the center arc and the offensive game is also good.</t>
  </si>
  <si>
    <t>I want to get better at my zone presses because they weren't that good last year when we ran with Danne, they were pretty unclear.</t>
  </si>
  <si>
    <t>Drive the puck with control, don't dribble too much. Be able to pass while riding. Protect the puck from opponents</t>
  </si>
  <si>
    <t>Cover shots. Forecheck and try to win the puck back in the defensive zone. Shadow the goalie in the offensive zone</t>
  </si>
  <si>
    <t>Has a good winning instinct and likes and is good at competing and has a good character</t>
  </si>
  <si>
    <t>Need to improve my body language when I'm angry, sad, or when things are going badly</t>
  </si>
  <si>
    <t>Usually positive even if they are going badly, if I am not they are usually sad or angry. Gets really happy if we do something good (goal, win, cover shots etc). Also lets go of a loss pretty quickly</t>
  </si>
  <si>
    <t>Need to develop my body language when I'm upset or angry and use it to become tougher and take out my anger by giving it everything I have</t>
  </si>
  <si>
    <t>Always warms up, I try my best with my diet but sometimes it's hard to keep up, always sleeps well and replenishes as soon as I get home</t>
  </si>
  <si>
    <t>Want to get better at nutrition, recovery and cool-down</t>
  </si>
  <si>
    <t>Always warm up, always eat well before a match, try to get extra sleep.</t>
  </si>
  <si>
    <t>Need to get better at recovering afterwards</t>
  </si>
  <si>
    <t>I try to stay focused and do my best even if I'm tired or if it's difficult. I don't care too much if I don't score points, they're just extra fun if you get to do them. I'm good at taking feedback, both good and bad.</t>
  </si>
  <si>
    <t>I need to get better at not losing my temper if I'm tired or discouraged. And try to let go of mistakes and move on if we're behind and keep giving it my all.</t>
  </si>
  <si>
    <t>I take feedback well, I don't take it personally.</t>
  </si>
  <si>
    <t>Try to stay in Luleå. (SDHL)</t>
  </si>
  <si>
    <t xml:space="preserve">can have a few dips sometimes under the season </t>
  </si>
  <si>
    <t>U19D</t>
  </si>
  <si>
    <t>Name</t>
  </si>
  <si>
    <t>Ebba Hörnqvist</t>
  </si>
  <si>
    <t>Jenni Hiirikoski</t>
  </si>
  <si>
    <t>Edith Örnklöö</t>
  </si>
  <si>
    <t>Fanny Aneborn</t>
  </si>
  <si>
    <t>Inez Nygren</t>
  </si>
  <si>
    <t>Mimmi Gill</t>
  </si>
  <si>
    <t>Emilie Kruse</t>
  </si>
  <si>
    <t>Ebba Hedqvist</t>
  </si>
  <si>
    <t>Wilma Sjölund</t>
  </si>
  <si>
    <t>Hedvig Sturk</t>
  </si>
  <si>
    <t>Astrid Lindeberg</t>
  </si>
  <si>
    <t>Mei Miura</t>
  </si>
  <si>
    <t>Aoi Shiga</t>
  </si>
  <si>
    <t>Jaycee Magwood</t>
  </si>
  <si>
    <t>Jenna Donohue</t>
  </si>
  <si>
    <t>Madison Chantler</t>
  </si>
  <si>
    <t>Nella Berg</t>
  </si>
  <si>
    <t>Franziska Stocker</t>
  </si>
  <si>
    <t>Amanda Åström Holmberg</t>
  </si>
  <si>
    <t xml:space="preserve">Minja Pieti Ylitalo </t>
  </si>
  <si>
    <t>Anousha Khodaverdian</t>
  </si>
  <si>
    <t>I think I am preety fast, and I am preety confident in transitioning from forward to backwards and the other way around</t>
  </si>
  <si>
    <t>I need to develop puck protection/turning away from pressure and my acceleration.</t>
  </si>
  <si>
    <t>My strength is wrist shot</t>
  </si>
  <si>
    <t>I want to be better at shooting in weird positions and hiding my shot so that it’s harder for the goalies to know when I am going to shoot</t>
  </si>
  <si>
    <t>I don’t really feel like I have a strength here</t>
  </si>
  <si>
    <t>This is the area where I believe I need to develop the most because if you’re good at this it will become a lot easier to play. But the main things I want to develop here are handling the puck in tight areas and moving my feet at the same time as I move the puck while still keeping my head up and being able to turn away from pressure</t>
  </si>
  <si>
    <t>I feel like in big area play (like games) that I have good positioning</t>
  </si>
  <si>
    <t>I think I need to develop my decision making because when there is a lot of “rules” to follow sometimes I think to much when I should just play</t>
  </si>
  <si>
    <t>I think I have pretty accurate passings most of the time</t>
  </si>
  <si>
    <t>I need to develop receiving on my skats and my backhand</t>
  </si>
  <si>
    <t>I don’t really think I have a strength here</t>
  </si>
  <si>
    <t>I need to develop my body positioning and to really attack the player and not just holding them on the outside</t>
  </si>
  <si>
    <t>When we have the puck=I at least try to be a support to them and wanting the puck
When I have the puck=I always try to find someone to pass (so scaning) or if I have opportunity shoot</t>
  </si>
  <si>
    <t>We have the puck= I need to develop my positioning, and head up
When I have the puck= I need to attack more</t>
  </si>
  <si>
    <t>Checking people to the bords like making their hand and stick get stuck</t>
  </si>
  <si>
    <t>I need to develop my balance</t>
  </si>
  <si>
    <t>Well we haven’t really gone through a lot of how you guys are playing, but I think I handle defensive zone play good</t>
  </si>
  <si>
    <t>I think I need to develop neutral defensive play, like when their defense starts going with the puck and we are late in the forcheck, then I need to develop getting them to the boards and closing the middle</t>
  </si>
  <si>
    <t>1.Moving my feet while moving the puck while looking around. 
2.protecting the puck
3.shooting from “bad” angels and situations</t>
  </si>
  <si>
    <t>1. Late attacks in the nautralzone 
2.attacking and not just following 
3.being in the shooting lane (when the d has the puck)</t>
  </si>
  <si>
    <t>Always wanting to do my best and always being in competition</t>
  </si>
  <si>
    <t>To not get so upset when I don’t preform I practice, but that’s also what makes me work harder and practice more alone so I don’t really know.</t>
  </si>
  <si>
    <t>Cheering on everyone and just going al the time</t>
  </si>
  <si>
    <t>To create more chances</t>
  </si>
  <si>
    <t>Warming up my body</t>
  </si>
  <si>
    <t>I need to develop warming up my head</t>
  </si>
  <si>
    <t>My strengths are warming up and eating food before and during the game</t>
  </si>
  <si>
    <t>I need to develop cooling down good even if the game ends really late and you just want to sleep and eating after the games</t>
  </si>
  <si>
    <t>I think I handle it really good because I love feedback</t>
  </si>
  <si>
    <t>My goal for this season is to play games in the national serie and to be able to hold the puck and help the team win</t>
  </si>
  <si>
    <t>Nothing that I can think of</t>
  </si>
  <si>
    <t>Angelina Bergmann Sloth</t>
  </si>
  <si>
    <t>Speed, acceleration and protection of puck</t>
  </si>
  <si>
    <t>Stance, turning away from pressure and edge control</t>
  </si>
  <si>
    <t>Wrist shot, timing and accuracy</t>
  </si>
  <si>
    <t>One timer, quick release and shooting in different role in specific situations, shooting in stride</t>
  </si>
  <si>
    <t>Head up play, protecting the puck, handling with feet</t>
  </si>
  <si>
    <t>Stick handling, tight area control, one on one touches, dekes</t>
  </si>
  <si>
    <t>Play without puck, reading the play, communication, decision making</t>
  </si>
  <si>
    <t>Scanning and shoulder check, positioning, screens, anticipation</t>
  </si>
  <si>
    <t>Passing, using two hands or one hand on stick</t>
  </si>
  <si>
    <t>Reviving especially in back hand, hand/ arm position. Tight areas</t>
  </si>
  <si>
    <t>One hand vs two hand on the stick, transitioning between forward and backward skating</t>
  </si>
  <si>
    <t>Body positioning, angling</t>
  </si>
  <si>
    <t>When a teammate has the puck: Head up play, communication.
When I have the puck: attacking mindset and scanning.</t>
  </si>
  <si>
    <t>When a teammate has the puck: screens, positioning.
When I have the puck: puck management, reading/ evaluating situations.</t>
  </si>
  <si>
    <t>Protecting the puck</t>
  </si>
  <si>
    <t>Checking technique, balance</t>
  </si>
  <si>
    <t>Forecheck, backcheck, defensive play</t>
  </si>
  <si>
    <t>Breakout play, transition play and offensive play</t>
  </si>
  <si>
    <t>Better stick handling, winning battles, tight areas</t>
  </si>
  <si>
    <t>Better edge control, blocking shot, better stick position</t>
  </si>
  <si>
    <t>Competitive mindset, character and competitiveness, grit</t>
  </si>
  <si>
    <t>Grit, competitive mindset, character and competitiveness</t>
  </si>
  <si>
    <t>Warm up, nutrition, sleep, recovery, cooldown</t>
  </si>
  <si>
    <t>Mental preparation, recovery, I like to know more about warm up and cooldown</t>
  </si>
  <si>
    <t>Warm up nutrition, sleep, recovery, cooldown</t>
  </si>
  <si>
    <t>Mental preparation, recovery</t>
  </si>
  <si>
    <t>I like to get feed back both negative and positive</t>
  </si>
  <si>
    <t>My goal is always to be better than last season and to work hard.</t>
  </si>
  <si>
    <t>Sarlote Stale</t>
  </si>
  <si>
    <t>C cuts</t>
  </si>
  <si>
    <t>Acceleration, speed (especially on starts), low sit, full strides (!!!). I think, feel and it looks like i’m not straightening my leg enough while pushing with one leg. I guess that is where the speed mostly comes from.</t>
  </si>
  <si>
    <t>Aiming and accuracy, technique for the wrist shot, shooting when I have time.</t>
  </si>
  <si>
    <t>Slap shot, one-timer, shooting in stride and overall shooting in pressured situations - I need to shoot more (“you miss 100% of shots you don’t take” and all that :D)</t>
  </si>
  <si>
    <t>Stickhandling, doing dekes, seeing the puck with my head up.</t>
  </si>
  <si>
    <t>Protecting the puck, turns away from pressure</t>
  </si>
  <si>
    <t>Reading the play, evaluating situations, scanning ice most of the time, in front of the net screen.</t>
  </si>
  <si>
    <t>Decision-making (sometimes I need to take more responsibility on myself), play without the puck (especially, I have to show that I want the puck back etc.)</t>
  </si>
  <si>
    <t>Hand/arm positioning and movement, forehand actions, finding an open corridor to the center in the breakout (as a winger) and finding and giving high iq passes overall.</t>
  </si>
  <si>
    <t>Receiving hard passes, recieving to the backhand, passing and receiving in the speed</t>
  </si>
  <si>
    <t>One hand on the stick</t>
  </si>
  <si>
    <t>Angling, footwork (following and not letting the opponent who’s with the puck go and turn to our net), boxing out</t>
  </si>
  <si>
    <t>Teammate: timing, screens and scanning
I: scanning and finding open corridor passes, evaluating situations</t>
  </si>
  <si>
    <t>Teammate: communication and talking
I: attacking mindset, taking responsibility on myself</t>
  </si>
  <si>
    <t>At least while practicing I can protect the puck with my body, but … (next q)</t>
  </si>
  <si>
    <t>in actual games with a lot of pressure it’s a bigger problem. Also boxing out, checking technique, battles 1v1.</t>
  </si>
  <si>
    <t>D-zone play (positioning as a winger - 4th or 5th position), breakout plays</t>
  </si>
  <si>
    <t>Backcheck (backchecking faster and always), forecheck (going harder and more physical).
But overall my understanding for the system is good, there are just some things which are harder to do in actions.</t>
  </si>
  <si>
    <t>1) receiving the puck as a winger in our zone and then going through the neutral zone and entering the O zone in speed (!). 
2) 1v1 situation in the O zone, I’m having the puck next to the boards, I’m doing turns to protect the puck (where I need to move my legs a lot) and my goal is to get out of this and make a dangerous pass/shot or attacking play.
3) when I’m in a good shooting position in the O zone, but I see my partner and I’m trying to pass her. Even though it was not necessarry in that moment. (decition making, taking responsibility on myself, attacking mindset).</t>
  </si>
  <si>
    <t>1) 1v1 situation anywhere, I’m without the puck and need to use my body for physical plays, win the puck back, be on the right side of the player (for ex. angling, next to the boards)
2) my partner has the puck in the O zone, I want to receive a pass by talking, shouting and showing with my body that I want that puck (attacking mindset also without the puck.) 
3) being able to start skating fast from standing position - our D zone, from 4th or 5th position, joining our attack.</t>
  </si>
  <si>
    <t>Good body language, character and technical execution</t>
  </si>
  <si>
    <t>Competetiveness, grit</t>
  </si>
  <si>
    <t>Body language, character</t>
  </si>
  <si>
    <t>Competitiveness and grit.</t>
  </si>
  <si>
    <t>Warmup, sleep, understanding of the subject</t>
  </si>
  <si>
    <t>Nutrition, recovery and mental preperation</t>
  </si>
  <si>
    <t>Warmup, understanding of the subject, sleep, cool-down</t>
  </si>
  <si>
    <t>Nutrition, recovery, mental preperation</t>
  </si>
  <si>
    <t>I’m always listening to any feedback, from anyone (teammates, coaches, important people in my life) and taking it as a opportunity to see myself from the side. Yes, it’s not always positive and it’s not always easy to hear it, but it’s important to take it with you.</t>
  </si>
  <si>
    <t>Be a player the coaches trust for. Develop both as a player and as a person. Get stronger and faster off ice.</t>
  </si>
  <si>
    <t>Elsi Hyltegård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</si>
</sst>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9" x14ac:knownFonts="1">
    <font>
      <sz val="10"/>
      <color rgb="FF000000"/>
      <name val="Arial"/>
      <scheme val="minor"/>
    </font>
    <font>
      <sz val="10"/>
      <color theme="1"/>
      <name val="Arial"/>
      <scheme val="minor"/>
    </font>
    <font>
      <u/>
      <sz val="10"/>
      <color rgb="FF0000FF"/>
      <name val="Roboto"/>
    </font>
    <font>
      <u/>
      <sz val="10"/>
      <color rgb="FF0000FF"/>
      <name val="Roboto"/>
    </font>
    <font>
      <u/>
      <sz val="10"/>
      <color rgb="FF0000FF"/>
      <name val="Roboto"/>
    </font>
    <font>
      <u/>
      <sz val="10"/>
      <color rgb="FF0000FF"/>
      <name val="Roboto"/>
    </font>
    <font>
      <sz val="10"/>
      <color rgb="FF434343"/>
      <name val="Roboto"/>
    </font>
    <font>
      <sz val="10"/>
      <color rgb="FF000000"/>
      <name val="Arial"/>
      <family val="2"/>
      <scheme val="minor"/>
    </font>
    <font>
      <sz val="10"/>
      <color theme="1"/>
      <name val="Arial"/>
      <family val="2"/>
      <scheme val="minor"/>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10">
    <border>
      <left/>
      <right/>
      <top/>
      <bottom/>
      <diagonal/>
    </border>
    <border>
      <left style="medium">
        <color rgb="FFFFFFFF"/>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FFFFFF"/>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27">
    <xf numFmtId="0" fontId="0" fillId="0" borderId="0" xfId="0"/>
    <xf numFmtId="0" fontId="1" fillId="0" borderId="0" xfId="0" applyFont="1" applyAlignment="1">
      <alignment horizontal="left" vertical="center"/>
    </xf>
    <xf numFmtId="0" fontId="1" fillId="0" borderId="0" xfId="0" applyFont="1" applyAlignment="1">
      <alignment vertical="center" wrapText="1"/>
    </xf>
    <xf numFmtId="0" fontId="2" fillId="0" borderId="0" xfId="0" applyFont="1" applyAlignment="1">
      <alignment vertical="center" wrapText="1"/>
    </xf>
    <xf numFmtId="14" fontId="1" fillId="0" borderId="0" xfId="0" applyNumberFormat="1" applyFont="1" applyAlignment="1">
      <alignment vertical="center" wrapText="1"/>
    </xf>
    <xf numFmtId="0" fontId="1" fillId="0" borderId="0" xfId="0" applyFont="1" applyAlignment="1">
      <alignment wrapText="1"/>
    </xf>
    <xf numFmtId="0" fontId="3" fillId="0" borderId="0" xfId="0" applyFont="1" applyAlignment="1">
      <alignment vertical="center" wrapText="1"/>
    </xf>
    <xf numFmtId="164" fontId="1" fillId="0" borderId="0" xfId="0" applyNumberFormat="1" applyFont="1" applyAlignment="1">
      <alignment vertical="center"/>
    </xf>
    <xf numFmtId="0" fontId="1" fillId="0" borderId="0" xfId="0" applyFont="1" applyAlignment="1">
      <alignment vertical="center"/>
    </xf>
    <xf numFmtId="0" fontId="4" fillId="0" borderId="0" xfId="0" applyFont="1" applyAlignment="1">
      <alignment vertical="center"/>
    </xf>
    <xf numFmtId="14" fontId="1" fillId="0" borderId="0" xfId="0" applyNumberFormat="1" applyFont="1" applyAlignment="1">
      <alignment vertical="center"/>
    </xf>
    <xf numFmtId="0" fontId="5" fillId="0" borderId="0" xfId="0" applyFont="1" applyAlignment="1">
      <alignment vertical="center"/>
    </xf>
    <xf numFmtId="0" fontId="2" fillId="0" borderId="0" xfId="0" applyFont="1" applyAlignment="1">
      <alignment vertical="center"/>
    </xf>
    <xf numFmtId="0" fontId="6" fillId="2" borderId="1" xfId="0" applyFont="1" applyFill="1" applyBorder="1" applyAlignment="1">
      <alignment vertical="center" wrapText="1"/>
    </xf>
    <xf numFmtId="0" fontId="6" fillId="2" borderId="2" xfId="0" applyFont="1" applyFill="1" applyBorder="1" applyAlignment="1">
      <alignment horizontal="right" vertical="center" wrapText="1"/>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6" fillId="3" borderId="4" xfId="0" applyFont="1" applyFill="1" applyBorder="1" applyAlignment="1">
      <alignment vertical="center" wrapText="1"/>
    </xf>
    <xf numFmtId="0" fontId="6" fillId="3" borderId="5" xfId="0" applyFont="1" applyFill="1" applyBorder="1" applyAlignment="1">
      <alignment horizontal="right" vertical="center" wrapText="1"/>
    </xf>
    <xf numFmtId="0" fontId="6" fillId="3" borderId="5" xfId="0" applyFont="1" applyFill="1" applyBorder="1" applyAlignment="1">
      <alignment vertical="center" wrapText="1"/>
    </xf>
    <xf numFmtId="0" fontId="7" fillId="3" borderId="6" xfId="0" applyFont="1" applyFill="1" applyBorder="1" applyAlignment="1">
      <alignment vertical="center" wrapText="1"/>
    </xf>
    <xf numFmtId="0" fontId="6" fillId="2" borderId="7" xfId="0" applyFont="1" applyFill="1" applyBorder="1" applyAlignment="1">
      <alignment vertical="center" wrapText="1"/>
    </xf>
    <xf numFmtId="0" fontId="6" fillId="2" borderId="8" xfId="0" applyFont="1" applyFill="1" applyBorder="1" applyAlignment="1">
      <alignment horizontal="right" vertical="center" wrapText="1"/>
    </xf>
    <xf numFmtId="0" fontId="6" fillId="2" borderId="8" xfId="0" applyFont="1" applyFill="1" applyBorder="1" applyAlignment="1">
      <alignment vertical="center" wrapText="1"/>
    </xf>
    <xf numFmtId="0" fontId="7" fillId="2" borderId="9" xfId="0" applyFont="1" applyFill="1" applyBorder="1" applyAlignment="1">
      <alignment vertical="center" wrapText="1"/>
    </xf>
    <xf numFmtId="0" fontId="8" fillId="0" borderId="0" xfId="0" applyFont="1" applyAlignment="1">
      <alignment vertical="center"/>
    </xf>
    <xf numFmtId="0" fontId="8" fillId="0" borderId="0" xfId="0" applyFont="1" applyFill="1" applyBorder="1" applyAlignment="1">
      <alignment vertical="center"/>
    </xf>
  </cellXfs>
  <cellStyles count="1">
    <cellStyle name="Normaali" xfId="0" builtinId="0"/>
  </cellStyles>
  <dxfs count="5">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ulärsvar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BB13">
  <tableColumns count="53">
    <tableColumn id="2" xr3:uid="{00000000-0010-0000-0000-000002000000}" name="Nummer?"/>
    <tableColumn id="1" xr3:uid="{BD75A704-ABCF-41EA-ACCB-A3A222757FCD}" name="Name" dataDxfId="0"/>
    <tableColumn id="3" xr3:uid="{00000000-0010-0000-0000-000003000000}" name="Hur är din skridskoåkning?"/>
    <tableColumn id="4" xr3:uid="{00000000-0010-0000-0000-000004000000}" name="Vad är du bra på?"/>
    <tableColumn id="5" xr3:uid="{00000000-0010-0000-0000-000005000000}" name="Vad behöver du utveckla?"/>
    <tableColumn id="6" xr3:uid="{00000000-0010-0000-0000-000006000000}" name="Hur är ditt skott?"/>
    <tableColumn id="7" xr3:uid="{00000000-0010-0000-0000-000007000000}" name="Vad är du bra på? 2"/>
    <tableColumn id="8" xr3:uid="{00000000-0010-0000-0000-000008000000}" name="Vad behöver du utveckla? 2"/>
    <tableColumn id="9" xr3:uid="{00000000-0010-0000-0000-000009000000}" name="Hur är din puckföring/puckkontroll?"/>
    <tableColumn id="10" xr3:uid="{00000000-0010-0000-0000-00000A000000}" name="Vad är du bra på? 3"/>
    <tableColumn id="11" xr3:uid="{00000000-0010-0000-0000-00000B000000}" name="Vad behöver du utveckla? 3"/>
    <tableColumn id="12" xr3:uid="{00000000-0010-0000-0000-00000C000000}" name="Hur är din spelförstålse?"/>
    <tableColumn id="13" xr3:uid="{00000000-0010-0000-0000-00000D000000}" name="Vad är du bra på? 4"/>
    <tableColumn id="14" xr3:uid="{00000000-0010-0000-0000-00000E000000}" name="Vad behöver du utveckla? 4"/>
    <tableColumn id="15" xr3:uid="{00000000-0010-0000-0000-00000F000000}" name="Hur är din kvalitet i passning/mottagning?"/>
    <tableColumn id="16" xr3:uid="{00000000-0010-0000-0000-000010000000}" name="Vad är du bra på? 5"/>
    <tableColumn id="17" xr3:uid="{00000000-0010-0000-0000-000011000000}" name="Vad behöver du utveckla? 5"/>
    <tableColumn id="18" xr3:uid="{00000000-0010-0000-0000-000012000000}" name="Hur är din kvalitet i försvarsspelet?"/>
    <tableColumn id="19" xr3:uid="{00000000-0010-0000-0000-000013000000}" name="Vad är du bra på? 6"/>
    <tableColumn id="20" xr3:uid="{00000000-0010-0000-0000-000014000000}" name="Vad behöver du utveckla? 6"/>
    <tableColumn id="21" xr3:uid="{00000000-0010-0000-0000-000015000000}" name="Hur är din kvalitet i anfallsspelet?"/>
    <tableColumn id="22" xr3:uid="{00000000-0010-0000-0000-000016000000}" name="Vad är jag bra på?"/>
    <tableColumn id="23" xr3:uid="{00000000-0010-0000-0000-000017000000}" name="Vad behöver du utveckla? 7"/>
    <tableColumn id="24" xr3:uid="{00000000-0010-0000-0000-000018000000}" name="Hur är din kvalitet i det fysiska spelet?"/>
    <tableColumn id="25" xr3:uid="{00000000-0010-0000-0000-000019000000}" name="Vad är jag bra på? 2"/>
    <tableColumn id="26" xr3:uid="{00000000-0010-0000-0000-00001A000000}" name="Vad behöver du utveckla? 8"/>
    <tableColumn id="27" xr3:uid="{00000000-0010-0000-0000-00001B000000}" name="Hur är din förståelse för spelsystemet?"/>
    <tableColumn id="28" xr3:uid="{00000000-0010-0000-0000-00001C000000}" name="Vilka moment hanterar jag bra?"/>
    <tableColumn id="29" xr3:uid="{00000000-0010-0000-0000-00001D000000}" name="Vilka moment behöver jag utveckla?"/>
    <tableColumn id="30" xr3:uid="{00000000-0010-0000-0000-00001E000000}" name="Skriv ner 3 konkreta moment i spelet med puck"/>
    <tableColumn id="31" xr3:uid="{00000000-0010-0000-0000-00001F000000}" name="Skriv ner 3 konkreta moment i spelet utan puck"/>
    <tableColumn id="32" xr3:uid="{00000000-0010-0000-0000-000020000000}" name="Hur är din arbetsmoral vid träning?"/>
    <tableColumn id="33" xr3:uid="{00000000-0010-0000-0000-000021000000}" name="Vad gör du bra?"/>
    <tableColumn id="34" xr3:uid="{00000000-0010-0000-0000-000022000000}" name="Vad behöver du utveckla? 9"/>
    <tableColumn id="35" xr3:uid="{00000000-0010-0000-0000-000023000000}" name="Hur är din arbetsmoral vid match?"/>
    <tableColumn id="36" xr3:uid="{00000000-0010-0000-0000-000024000000}" name="Vad gör du bra? 2"/>
    <tableColumn id="37" xr3:uid="{00000000-0010-0000-0000-000025000000}" name="Vad behöver du utveckla? 10"/>
    <tableColumn id="38" xr3:uid="{00000000-0010-0000-0000-000026000000}" name="Hur är dina förberedelser runt träning?"/>
    <tableColumn id="39" xr3:uid="{00000000-0010-0000-0000-000027000000}" name="Vad gör du bra? 3"/>
    <tableColumn id="40" xr3:uid="{00000000-0010-0000-0000-000028000000}" name="Vad behöver du utveckla? 11"/>
    <tableColumn id="41" xr3:uid="{00000000-0010-0000-0000-000029000000}" name="Hur är dina förberedelser runt match?"/>
    <tableColumn id="42" xr3:uid="{00000000-0010-0000-0000-00002A000000}" name="Vad gör du bra? 4"/>
    <tableColumn id="43" xr3:uid="{00000000-0010-0000-0000-00002B000000}" name="Vad behöver du utveckla? 12"/>
    <tableColumn id="44" xr3:uid="{00000000-0010-0000-0000-00002C000000}" name="Hur hanterar du utmaningar vid träningar/matcher?"/>
    <tableColumn id="45" xr3:uid="{00000000-0010-0000-0000-00002D000000}" name="Vad gör du bra? 5"/>
    <tableColumn id="46" xr3:uid="{00000000-0010-0000-0000-00002E000000}" name="Vad behöver du utveckla? 13"/>
    <tableColumn id="47" xr3:uid="{00000000-0010-0000-0000-00002F000000}" name="Hur mottaglig är du för feedback?"/>
    <tableColumn id="48" xr3:uid="{00000000-0010-0000-0000-000030000000}" name="Hur hanterar du feedback (negativ och positiv)?"/>
    <tableColumn id="49" xr3:uid="{00000000-0010-0000-0000-000031000000}" name="Vad är ditt mål med den här säsongen?"/>
    <tableColumn id="50" xr3:uid="{00000000-0010-0000-0000-000032000000}" name="Kolumn 49"/>
    <tableColumn id="51" xr3:uid="{00000000-0010-0000-0000-000033000000}" name="Player Profile URL"/>
    <tableColumn id="52" xr3:uid="{00000000-0010-0000-0000-000034000000}" name="Player Profile File ID"/>
    <tableColumn id="53" xr3:uid="{00000000-0010-0000-0000-000035000000}" name="Profile Updated"/>
  </tableColumns>
  <tableStyleInfo name="Formulärsvar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37"/>
  <sheetViews>
    <sheetView tabSelected="1" workbookViewId="0">
      <pane ySplit="1" topLeftCell="A2" activePane="bottomLeft" state="frozen"/>
      <selection pane="bottomLeft" activeCell="B38" sqref="B38"/>
    </sheetView>
  </sheetViews>
  <sheetFormatPr defaultColWidth="12.6328125" defaultRowHeight="15.75" customHeight="1" x14ac:dyDescent="0.25"/>
  <cols>
    <col min="2" max="3" width="18.90625" customWidth="1"/>
    <col min="4" max="4" width="24.6328125" customWidth="1"/>
    <col min="5" max="5" width="18.90625" customWidth="1"/>
    <col min="6" max="6" width="23.7265625" customWidth="1"/>
    <col min="7" max="8" width="18.90625" customWidth="1"/>
    <col min="9" max="9" width="23.7265625" customWidth="1"/>
    <col min="10" max="10" width="31" customWidth="1"/>
    <col min="11" max="11" width="18.90625" customWidth="1"/>
    <col min="12" max="12" width="23.7265625" customWidth="1"/>
    <col min="13" max="13" width="23" customWidth="1"/>
    <col min="14" max="14" width="18.90625" customWidth="1"/>
    <col min="15" max="15" width="23.7265625" customWidth="1"/>
    <col min="16" max="16" width="35.6328125" customWidth="1"/>
    <col min="17" max="17" width="18.90625" customWidth="1"/>
    <col min="18" max="18" width="23.7265625" customWidth="1"/>
    <col min="19" max="19" width="30.36328125" customWidth="1"/>
    <col min="20" max="20" width="18.90625" customWidth="1"/>
    <col min="21" max="21" width="23.7265625" customWidth="1"/>
    <col min="22" max="22" width="29.26953125" customWidth="1"/>
    <col min="23" max="23" width="18.90625" customWidth="1"/>
    <col min="24" max="24" width="23.7265625" customWidth="1"/>
    <col min="25" max="25" width="32.6328125" customWidth="1"/>
    <col min="26" max="26" width="18.90625" customWidth="1"/>
    <col min="27" max="27" width="23.7265625" customWidth="1"/>
    <col min="28" max="28" width="33.36328125" customWidth="1"/>
    <col min="29" max="29" width="27.90625" customWidth="1"/>
    <col min="30" max="30" width="31.36328125" customWidth="1"/>
    <col min="31" max="32" width="37.6328125" customWidth="1"/>
    <col min="33" max="33" width="30.36328125" customWidth="1"/>
    <col min="34" max="34" width="18.90625" customWidth="1"/>
    <col min="35" max="35" width="23.7265625" customWidth="1"/>
    <col min="36" max="36" width="29.90625" customWidth="1"/>
    <col min="37" max="37" width="18.90625" customWidth="1"/>
    <col min="38" max="38" width="23.7265625" customWidth="1"/>
    <col min="39" max="39" width="32.90625" customWidth="1"/>
    <col min="40" max="40" width="18.90625" customWidth="1"/>
    <col min="41" max="41" width="23.7265625" customWidth="1"/>
    <col min="42" max="42" width="32.36328125" customWidth="1"/>
    <col min="43" max="43" width="18.90625" customWidth="1"/>
    <col min="44" max="44" width="23.7265625" customWidth="1"/>
    <col min="45" max="45" width="37.6328125" customWidth="1"/>
    <col min="46" max="46" width="18.90625" customWidth="1"/>
    <col min="47" max="47" width="23.7265625" customWidth="1"/>
    <col min="48" max="48" width="29.6328125" customWidth="1"/>
    <col min="49" max="49" width="37.6328125" customWidth="1"/>
    <col min="50" max="50" width="33.6328125" customWidth="1"/>
    <col min="51" max="57" width="18.90625" customWidth="1"/>
  </cols>
  <sheetData>
    <row r="1" spans="1:57" ht="22.5" customHeight="1" x14ac:dyDescent="0.25">
      <c r="A1" t="s">
        <v>656</v>
      </c>
      <c r="B1" s="1" t="s">
        <v>0</v>
      </c>
      <c r="C1" s="1" t="s">
        <v>1122</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row>
    <row r="2" spans="1:57" ht="22.5" customHeight="1" x14ac:dyDescent="0.25">
      <c r="A2" t="s">
        <v>657</v>
      </c>
      <c r="B2" s="2">
        <v>44</v>
      </c>
      <c r="C2" s="2" t="s">
        <v>1123</v>
      </c>
      <c r="D2" s="2">
        <v>6</v>
      </c>
      <c r="E2" s="2" t="s">
        <v>52</v>
      </c>
      <c r="F2" s="2" t="s">
        <v>53</v>
      </c>
      <c r="G2" s="2">
        <v>5</v>
      </c>
      <c r="H2" s="2" t="s">
        <v>54</v>
      </c>
      <c r="I2" s="2" t="s">
        <v>55</v>
      </c>
      <c r="J2" s="2">
        <v>7</v>
      </c>
      <c r="K2" s="2" t="s">
        <v>56</v>
      </c>
      <c r="L2" s="2" t="s">
        <v>57</v>
      </c>
      <c r="M2" s="2">
        <v>8</v>
      </c>
      <c r="N2" s="2" t="s">
        <v>58</v>
      </c>
      <c r="O2" s="2" t="s">
        <v>59</v>
      </c>
      <c r="P2" s="2">
        <v>7</v>
      </c>
      <c r="Q2" s="2" t="s">
        <v>60</v>
      </c>
      <c r="R2" s="2" t="s">
        <v>61</v>
      </c>
      <c r="S2" s="2">
        <v>7</v>
      </c>
      <c r="T2" s="2" t="s">
        <v>62</v>
      </c>
      <c r="U2" s="2" t="s">
        <v>63</v>
      </c>
      <c r="V2" s="2">
        <v>6</v>
      </c>
      <c r="W2" s="2" t="s">
        <v>64</v>
      </c>
      <c r="X2" s="2" t="s">
        <v>65</v>
      </c>
      <c r="Y2" s="2">
        <v>6</v>
      </c>
      <c r="Z2" s="2" t="s">
        <v>66</v>
      </c>
      <c r="AA2" s="2" t="s">
        <v>67</v>
      </c>
      <c r="AB2" s="2">
        <v>8</v>
      </c>
      <c r="AC2" s="2" t="s">
        <v>68</v>
      </c>
      <c r="AD2" s="2" t="s">
        <v>69</v>
      </c>
      <c r="AE2" s="2" t="s">
        <v>70</v>
      </c>
      <c r="AF2" s="2" t="s">
        <v>71</v>
      </c>
      <c r="AG2" s="2">
        <v>8</v>
      </c>
      <c r="AH2" s="2" t="s">
        <v>72</v>
      </c>
      <c r="AI2" s="2" t="s">
        <v>73</v>
      </c>
      <c r="AJ2" s="2">
        <v>8</v>
      </c>
      <c r="AK2" s="2" t="s">
        <v>74</v>
      </c>
      <c r="AL2" s="2" t="s">
        <v>75</v>
      </c>
      <c r="AM2" s="2">
        <v>6</v>
      </c>
      <c r="AN2" s="2" t="s">
        <v>76</v>
      </c>
      <c r="AO2" s="2" t="s">
        <v>77</v>
      </c>
      <c r="AP2" s="2">
        <v>8</v>
      </c>
      <c r="AQ2" s="2" t="s">
        <v>78</v>
      </c>
      <c r="AR2" s="2" t="s">
        <v>79</v>
      </c>
      <c r="AS2" s="2">
        <v>7</v>
      </c>
      <c r="AT2" s="2" t="s">
        <v>80</v>
      </c>
      <c r="AU2" s="2" t="s">
        <v>81</v>
      </c>
      <c r="AV2" s="2">
        <v>9</v>
      </c>
      <c r="AW2" s="2" t="s">
        <v>82</v>
      </c>
      <c r="AX2" s="2" t="s">
        <v>83</v>
      </c>
      <c r="AY2" s="2" t="s">
        <v>84</v>
      </c>
      <c r="AZ2" s="3" t="str">
        <f>HYPERLINK("https://docs.google.com/presentation/d/1wQnfrvR1-xe-g4GMEl4jRNd7-K9jXyXRJEUrJFtD4tU/edit?usp=drivesdk","Open Profile")</f>
        <v>Open Profile</v>
      </c>
      <c r="BA2" s="2" t="s">
        <v>85</v>
      </c>
      <c r="BB2" s="4">
        <v>46247.671841921299</v>
      </c>
      <c r="BC2" s="5"/>
      <c r="BD2" s="5"/>
      <c r="BE2" s="5"/>
    </row>
    <row r="3" spans="1:57" ht="22.5" customHeight="1" x14ac:dyDescent="0.25">
      <c r="A3" t="s">
        <v>657</v>
      </c>
      <c r="B3" s="2">
        <v>19</v>
      </c>
      <c r="C3" s="2"/>
      <c r="D3" s="2">
        <v>7</v>
      </c>
      <c r="E3" s="2" t="s">
        <v>86</v>
      </c>
      <c r="F3" s="2" t="s">
        <v>87</v>
      </c>
      <c r="G3" s="2">
        <v>5</v>
      </c>
      <c r="H3" s="2" t="s">
        <v>88</v>
      </c>
      <c r="I3" s="2" t="s">
        <v>89</v>
      </c>
      <c r="J3" s="2">
        <v>6</v>
      </c>
      <c r="K3" s="2" t="s">
        <v>90</v>
      </c>
      <c r="L3" s="2" t="s">
        <v>91</v>
      </c>
      <c r="M3" s="2">
        <v>7</v>
      </c>
      <c r="N3" s="2" t="s">
        <v>92</v>
      </c>
      <c r="O3" s="2" t="s">
        <v>93</v>
      </c>
      <c r="P3" s="2">
        <v>6</v>
      </c>
      <c r="Q3" s="2" t="s">
        <v>94</v>
      </c>
      <c r="R3" s="2" t="s">
        <v>95</v>
      </c>
      <c r="S3" s="2">
        <v>7</v>
      </c>
      <c r="T3" s="2" t="s">
        <v>96</v>
      </c>
      <c r="U3" s="2" t="s">
        <v>97</v>
      </c>
      <c r="V3" s="2">
        <v>6</v>
      </c>
      <c r="W3" s="2" t="s">
        <v>98</v>
      </c>
      <c r="X3" s="2" t="s">
        <v>99</v>
      </c>
      <c r="Y3" s="2">
        <v>7</v>
      </c>
      <c r="Z3" s="2" t="s">
        <v>100</v>
      </c>
      <c r="AA3" s="2" t="s">
        <v>101</v>
      </c>
      <c r="AB3" s="2">
        <v>7</v>
      </c>
      <c r="AC3" s="2" t="s">
        <v>102</v>
      </c>
      <c r="AD3" s="2" t="s">
        <v>103</v>
      </c>
      <c r="AE3" s="2" t="s">
        <v>104</v>
      </c>
      <c r="AF3" s="2" t="s">
        <v>105</v>
      </c>
      <c r="AG3" s="2">
        <v>5</v>
      </c>
      <c r="AH3" s="2" t="s">
        <v>106</v>
      </c>
      <c r="AI3" s="2" t="s">
        <v>107</v>
      </c>
      <c r="AJ3" s="2">
        <v>5</v>
      </c>
      <c r="AK3" s="2" t="s">
        <v>108</v>
      </c>
      <c r="AL3" s="2" t="s">
        <v>107</v>
      </c>
      <c r="AM3" s="2">
        <v>7</v>
      </c>
      <c r="AN3" s="2" t="s">
        <v>109</v>
      </c>
      <c r="AO3" s="2" t="s">
        <v>110</v>
      </c>
      <c r="AP3" s="2">
        <v>8</v>
      </c>
      <c r="AQ3" s="2" t="s">
        <v>111</v>
      </c>
      <c r="AR3" s="2" t="s">
        <v>112</v>
      </c>
      <c r="AS3" s="2">
        <v>5</v>
      </c>
      <c r="AT3" s="2" t="s">
        <v>113</v>
      </c>
      <c r="AU3" s="2" t="s">
        <v>114</v>
      </c>
      <c r="AV3" s="2">
        <v>7</v>
      </c>
      <c r="AW3" s="2" t="s">
        <v>115</v>
      </c>
      <c r="AX3" s="2" t="s">
        <v>116</v>
      </c>
      <c r="AY3" s="2" t="s">
        <v>117</v>
      </c>
      <c r="AZ3" s="3" t="str">
        <f>HYPERLINK("https://docs.google.com/presentation/d/1ye_m1y2R8LBaviOQvom0F6q_aC4Hso8xhE9Wrw9LG-A/edit?usp=drivesdk","Open Profile")</f>
        <v>Open Profile</v>
      </c>
      <c r="BA3" s="2" t="s">
        <v>118</v>
      </c>
      <c r="BB3" s="4">
        <v>46247.672273657408</v>
      </c>
      <c r="BC3" s="5"/>
      <c r="BD3" s="5"/>
      <c r="BE3" s="5"/>
    </row>
    <row r="4" spans="1:57" ht="22.5" customHeight="1" x14ac:dyDescent="0.25">
      <c r="A4" t="s">
        <v>657</v>
      </c>
      <c r="B4" s="2">
        <v>6</v>
      </c>
      <c r="C4" s="2" t="s">
        <v>1124</v>
      </c>
      <c r="D4" s="2">
        <v>9</v>
      </c>
      <c r="E4" s="2" t="s">
        <v>119</v>
      </c>
      <c r="F4" s="2" t="s">
        <v>120</v>
      </c>
      <c r="G4" s="2">
        <v>7</v>
      </c>
      <c r="H4" s="2" t="s">
        <v>121</v>
      </c>
      <c r="I4" s="2" t="s">
        <v>122</v>
      </c>
      <c r="J4" s="2">
        <v>7</v>
      </c>
      <c r="K4" s="2" t="s">
        <v>123</v>
      </c>
      <c r="L4" s="2" t="s">
        <v>124</v>
      </c>
      <c r="M4" s="2">
        <v>8</v>
      </c>
      <c r="N4" s="2" t="s">
        <v>125</v>
      </c>
      <c r="O4" s="2" t="s">
        <v>126</v>
      </c>
      <c r="P4" s="2">
        <v>8</v>
      </c>
      <c r="Q4" s="2" t="s">
        <v>127</v>
      </c>
      <c r="R4" s="2" t="s">
        <v>128</v>
      </c>
      <c r="S4" s="2">
        <v>9</v>
      </c>
      <c r="T4" s="2" t="s">
        <v>129</v>
      </c>
      <c r="U4" s="2" t="s">
        <v>130</v>
      </c>
      <c r="V4" s="2">
        <v>8</v>
      </c>
      <c r="W4" s="2" t="s">
        <v>131</v>
      </c>
      <c r="X4" s="2" t="s">
        <v>132</v>
      </c>
      <c r="Y4" s="2">
        <v>9</v>
      </c>
      <c r="Z4" s="2" t="s">
        <v>133</v>
      </c>
      <c r="AA4" s="2" t="s">
        <v>134</v>
      </c>
      <c r="AB4" s="2">
        <v>9</v>
      </c>
      <c r="AC4" s="2" t="s">
        <v>135</v>
      </c>
      <c r="AD4" s="2" t="s">
        <v>136</v>
      </c>
      <c r="AE4" s="2" t="s">
        <v>137</v>
      </c>
      <c r="AF4" s="2" t="s">
        <v>138</v>
      </c>
      <c r="AG4" s="2">
        <v>8</v>
      </c>
      <c r="AH4" s="2" t="s">
        <v>139</v>
      </c>
      <c r="AI4" s="2" t="s">
        <v>140</v>
      </c>
      <c r="AJ4" s="2">
        <v>10</v>
      </c>
      <c r="AK4" s="2" t="s">
        <v>141</v>
      </c>
      <c r="AL4" s="2" t="s">
        <v>140</v>
      </c>
      <c r="AM4" s="2">
        <v>10</v>
      </c>
      <c r="AN4" s="2" t="s">
        <v>142</v>
      </c>
      <c r="AO4" s="2" t="s">
        <v>143</v>
      </c>
      <c r="AP4" s="2">
        <v>10</v>
      </c>
      <c r="AQ4" s="2" t="s">
        <v>144</v>
      </c>
      <c r="AR4" s="2" t="s">
        <v>140</v>
      </c>
      <c r="AS4" s="2">
        <v>7</v>
      </c>
      <c r="AT4" s="2" t="s">
        <v>145</v>
      </c>
      <c r="AU4" s="2" t="s">
        <v>146</v>
      </c>
      <c r="AV4" s="2">
        <v>9</v>
      </c>
      <c r="AW4" s="2" t="s">
        <v>147</v>
      </c>
      <c r="AX4" s="2" t="s">
        <v>148</v>
      </c>
      <c r="AY4" s="2"/>
      <c r="AZ4" s="6" t="str">
        <f>HYPERLINK("https://docs.google.com/presentation/d/1WJNUbk00wlE08epReka3ePCrcv4IKc-UI5gkw2SedRw/edit?usp=drivesdk","Open Profile")</f>
        <v>Open Profile</v>
      </c>
      <c r="BA4" s="2" t="s">
        <v>149</v>
      </c>
      <c r="BB4" s="4">
        <v>46247.669829999999</v>
      </c>
      <c r="BC4" s="5"/>
      <c r="BD4" s="5"/>
      <c r="BE4" s="5"/>
    </row>
    <row r="5" spans="1:57" ht="22.5" customHeight="1" x14ac:dyDescent="0.25">
      <c r="A5" t="s">
        <v>657</v>
      </c>
      <c r="B5" s="2">
        <v>18</v>
      </c>
      <c r="C5" s="2" t="s">
        <v>1125</v>
      </c>
      <c r="D5" s="2">
        <v>3</v>
      </c>
      <c r="E5" s="2" t="s">
        <v>150</v>
      </c>
      <c r="F5" s="2" t="s">
        <v>151</v>
      </c>
      <c r="G5" s="2">
        <v>2</v>
      </c>
      <c r="H5" s="2" t="s">
        <v>152</v>
      </c>
      <c r="I5" s="2" t="s">
        <v>153</v>
      </c>
      <c r="J5" s="2">
        <v>3</v>
      </c>
      <c r="K5" s="2" t="s">
        <v>154</v>
      </c>
      <c r="L5" s="2" t="s">
        <v>155</v>
      </c>
      <c r="M5" s="2">
        <v>5</v>
      </c>
      <c r="N5" s="2" t="s">
        <v>156</v>
      </c>
      <c r="O5" s="2" t="s">
        <v>157</v>
      </c>
      <c r="P5" s="2">
        <v>3</v>
      </c>
      <c r="Q5" s="2" t="s">
        <v>158</v>
      </c>
      <c r="R5" s="2" t="s">
        <v>159</v>
      </c>
      <c r="S5" s="2">
        <v>4</v>
      </c>
      <c r="T5" s="2" t="s">
        <v>160</v>
      </c>
      <c r="U5" s="2" t="s">
        <v>161</v>
      </c>
      <c r="V5" s="2">
        <v>3</v>
      </c>
      <c r="W5" s="2" t="s">
        <v>162</v>
      </c>
      <c r="X5" s="2" t="s">
        <v>163</v>
      </c>
      <c r="Y5" s="2">
        <v>5</v>
      </c>
      <c r="Z5" s="2" t="s">
        <v>164</v>
      </c>
      <c r="AA5" s="2" t="s">
        <v>165</v>
      </c>
      <c r="AB5" s="2">
        <v>5</v>
      </c>
      <c r="AC5" s="2" t="s">
        <v>166</v>
      </c>
      <c r="AD5" s="2" t="s">
        <v>167</v>
      </c>
      <c r="AE5" s="2" t="s">
        <v>168</v>
      </c>
      <c r="AF5" s="2" t="s">
        <v>169</v>
      </c>
      <c r="AG5" s="2">
        <v>8</v>
      </c>
      <c r="AH5" s="2" t="s">
        <v>170</v>
      </c>
      <c r="AI5" s="2" t="s">
        <v>171</v>
      </c>
      <c r="AJ5" s="2">
        <v>9</v>
      </c>
      <c r="AK5" s="2" t="s">
        <v>172</v>
      </c>
      <c r="AL5" s="2" t="s">
        <v>173</v>
      </c>
      <c r="AM5" s="2">
        <v>6</v>
      </c>
      <c r="AN5" s="2" t="s">
        <v>174</v>
      </c>
      <c r="AO5" s="2" t="s">
        <v>175</v>
      </c>
      <c r="AP5" s="2">
        <v>7</v>
      </c>
      <c r="AQ5" s="2" t="s">
        <v>176</v>
      </c>
      <c r="AR5" s="2" t="s">
        <v>177</v>
      </c>
      <c r="AS5" s="2">
        <v>5</v>
      </c>
      <c r="AT5" s="2" t="s">
        <v>178</v>
      </c>
      <c r="AU5" s="2" t="s">
        <v>179</v>
      </c>
      <c r="AV5" s="2">
        <v>7</v>
      </c>
      <c r="AW5" s="2" t="s">
        <v>180</v>
      </c>
      <c r="AX5" s="2" t="s">
        <v>181</v>
      </c>
      <c r="AY5" s="2" t="s">
        <v>182</v>
      </c>
      <c r="AZ5" s="3" t="str">
        <f>HYPERLINK("https://docs.google.com/presentation/d/1DMmRI9g_f-5U5CkLuqcnP4utcTa8GBXjj6hOZKnBCsw/edit?usp=drivesdk","Open Profile")</f>
        <v>Open Profile</v>
      </c>
      <c r="BA5" s="2" t="s">
        <v>183</v>
      </c>
      <c r="BB5" s="4">
        <v>46247.672093090281</v>
      </c>
      <c r="BC5" s="5"/>
      <c r="BD5" s="5"/>
      <c r="BE5" s="5"/>
    </row>
    <row r="6" spans="1:57" ht="22.5" customHeight="1" x14ac:dyDescent="0.25">
      <c r="A6" t="s">
        <v>657</v>
      </c>
      <c r="B6" s="8">
        <v>25</v>
      </c>
      <c r="C6" s="8" t="s">
        <v>1126</v>
      </c>
      <c r="D6" s="8">
        <v>6</v>
      </c>
      <c r="E6" s="8" t="s">
        <v>184</v>
      </c>
      <c r="F6" s="8" t="s">
        <v>185</v>
      </c>
      <c r="G6" s="8">
        <v>5</v>
      </c>
      <c r="H6" s="8" t="s">
        <v>186</v>
      </c>
      <c r="I6" s="8" t="s">
        <v>187</v>
      </c>
      <c r="J6" s="8">
        <v>5</v>
      </c>
      <c r="K6" s="8" t="s">
        <v>188</v>
      </c>
      <c r="L6" s="8" t="s">
        <v>189</v>
      </c>
      <c r="M6" s="8">
        <v>8</v>
      </c>
      <c r="N6" s="8" t="s">
        <v>190</v>
      </c>
      <c r="O6" s="8" t="s">
        <v>191</v>
      </c>
      <c r="P6" s="8">
        <v>6</v>
      </c>
      <c r="Q6" s="8" t="s">
        <v>192</v>
      </c>
      <c r="R6" s="8" t="s">
        <v>193</v>
      </c>
      <c r="S6" s="8">
        <v>7</v>
      </c>
      <c r="T6" s="8" t="s">
        <v>194</v>
      </c>
      <c r="U6" s="8" t="s">
        <v>195</v>
      </c>
      <c r="V6" s="8">
        <v>7</v>
      </c>
      <c r="W6" s="8" t="s">
        <v>196</v>
      </c>
      <c r="X6" s="8" t="s">
        <v>197</v>
      </c>
      <c r="Y6" s="8">
        <v>5</v>
      </c>
      <c r="Z6" s="8" t="s">
        <v>198</v>
      </c>
      <c r="AA6" s="8" t="s">
        <v>199</v>
      </c>
      <c r="AB6" s="8">
        <v>9</v>
      </c>
      <c r="AC6" s="8" t="s">
        <v>200</v>
      </c>
      <c r="AD6" s="8" t="s">
        <v>201</v>
      </c>
      <c r="AE6" s="8" t="s">
        <v>202</v>
      </c>
      <c r="AF6" s="8" t="s">
        <v>203</v>
      </c>
      <c r="AG6" s="8">
        <v>7</v>
      </c>
      <c r="AH6" s="8" t="s">
        <v>204</v>
      </c>
      <c r="AI6" s="8" t="s">
        <v>205</v>
      </c>
      <c r="AJ6" s="8">
        <v>9</v>
      </c>
      <c r="AK6" s="8" t="s">
        <v>206</v>
      </c>
      <c r="AL6" s="8" t="s">
        <v>207</v>
      </c>
      <c r="AM6" s="8">
        <v>7</v>
      </c>
      <c r="AN6" s="8" t="s">
        <v>208</v>
      </c>
      <c r="AO6" s="8" t="s">
        <v>209</v>
      </c>
      <c r="AP6" s="8">
        <v>9</v>
      </c>
      <c r="AQ6" s="8" t="s">
        <v>210</v>
      </c>
      <c r="AR6" s="8" t="s">
        <v>211</v>
      </c>
      <c r="AS6" s="8">
        <v>6</v>
      </c>
      <c r="AT6" s="8" t="s">
        <v>212</v>
      </c>
      <c r="AU6" s="8" t="s">
        <v>213</v>
      </c>
      <c r="AV6" s="8">
        <v>8</v>
      </c>
      <c r="AW6" s="8" t="s">
        <v>214</v>
      </c>
      <c r="AX6" s="8" t="s">
        <v>215</v>
      </c>
      <c r="AZ6" s="9" t="str">
        <f>HYPERLINK("https://docs.google.com/presentation/d/1DfPtZSdVy7V5V7IGVA_naFVJjcX1eWr4y5PJBhua3OA/edit?usp=drivesdk","Open Profile")</f>
        <v>Open Profile</v>
      </c>
      <c r="BA6" s="8" t="s">
        <v>216</v>
      </c>
      <c r="BB6" s="10">
        <v>46247.671841192132</v>
      </c>
    </row>
    <row r="7" spans="1:57" ht="22.5" customHeight="1" x14ac:dyDescent="0.25">
      <c r="A7" t="s">
        <v>657</v>
      </c>
      <c r="B7" s="8">
        <v>39</v>
      </c>
      <c r="C7" s="8" t="s">
        <v>1127</v>
      </c>
      <c r="D7" s="8">
        <v>6</v>
      </c>
      <c r="E7" s="8" t="s">
        <v>217</v>
      </c>
      <c r="F7" s="8" t="s">
        <v>218</v>
      </c>
      <c r="G7" s="8">
        <v>5</v>
      </c>
      <c r="H7" s="8" t="s">
        <v>219</v>
      </c>
      <c r="I7" s="8" t="s">
        <v>220</v>
      </c>
      <c r="J7" s="8">
        <v>4</v>
      </c>
      <c r="K7" s="8" t="s">
        <v>221</v>
      </c>
      <c r="L7" s="8" t="s">
        <v>222</v>
      </c>
      <c r="M7" s="8">
        <v>5</v>
      </c>
      <c r="N7" s="8" t="s">
        <v>223</v>
      </c>
      <c r="O7" s="8" t="s">
        <v>224</v>
      </c>
      <c r="P7" s="8">
        <v>4</v>
      </c>
      <c r="Q7" s="8" t="s">
        <v>225</v>
      </c>
      <c r="R7" s="8" t="s">
        <v>226</v>
      </c>
      <c r="S7" s="8">
        <v>3</v>
      </c>
      <c r="T7" s="8" t="s">
        <v>227</v>
      </c>
      <c r="U7" s="8" t="s">
        <v>228</v>
      </c>
      <c r="V7" s="8">
        <v>5</v>
      </c>
      <c r="W7" s="8" t="s">
        <v>229</v>
      </c>
      <c r="X7" s="8" t="s">
        <v>230</v>
      </c>
      <c r="Y7" s="8">
        <v>4</v>
      </c>
      <c r="Z7" s="8" t="s">
        <v>231</v>
      </c>
      <c r="AA7" s="8" t="s">
        <v>232</v>
      </c>
      <c r="AB7" s="8">
        <v>4</v>
      </c>
      <c r="AC7" s="8" t="s">
        <v>233</v>
      </c>
      <c r="AD7" s="8" t="s">
        <v>234</v>
      </c>
      <c r="AE7" s="8" t="s">
        <v>235</v>
      </c>
      <c r="AF7" s="8" t="s">
        <v>236</v>
      </c>
      <c r="AG7" s="8">
        <v>7</v>
      </c>
      <c r="AH7" s="8" t="s">
        <v>237</v>
      </c>
      <c r="AI7" s="8" t="s">
        <v>238</v>
      </c>
      <c r="AJ7" s="8">
        <v>7</v>
      </c>
      <c r="AK7" s="8" t="s">
        <v>239</v>
      </c>
      <c r="AL7" s="8" t="s">
        <v>240</v>
      </c>
      <c r="AM7" s="8">
        <v>7</v>
      </c>
      <c r="AN7" s="8" t="s">
        <v>241</v>
      </c>
      <c r="AO7" s="8" t="s">
        <v>242</v>
      </c>
      <c r="AP7" s="8">
        <v>8</v>
      </c>
      <c r="AQ7" s="8" t="s">
        <v>243</v>
      </c>
      <c r="AR7" s="8" t="s">
        <v>244</v>
      </c>
      <c r="AS7" s="8">
        <v>5</v>
      </c>
      <c r="AT7" s="8" t="s">
        <v>245</v>
      </c>
      <c r="AU7" s="8" t="s">
        <v>246</v>
      </c>
      <c r="AV7" s="8">
        <v>7</v>
      </c>
      <c r="AW7" s="8" t="s">
        <v>247</v>
      </c>
      <c r="AX7" s="8" t="s">
        <v>248</v>
      </c>
      <c r="AZ7" s="9" t="str">
        <f>HYPERLINK("https://docs.google.com/presentation/d/1skuuNC9eSL2HgUCk4oDCCjXfsMq9VWUzJBg3vn7REQQ/edit?usp=drivesdk","Open Profile")</f>
        <v>Open Profile</v>
      </c>
      <c r="BA7" s="8" t="s">
        <v>249</v>
      </c>
      <c r="BB7" s="10">
        <v>46247.671846018522</v>
      </c>
    </row>
    <row r="8" spans="1:57" ht="22.5" customHeight="1" x14ac:dyDescent="0.25">
      <c r="A8" t="s">
        <v>657</v>
      </c>
      <c r="B8" s="8">
        <v>24</v>
      </c>
      <c r="C8" s="8" t="s">
        <v>1128</v>
      </c>
      <c r="D8" s="8">
        <v>7</v>
      </c>
      <c r="E8" s="8" t="s">
        <v>250</v>
      </c>
      <c r="F8" s="8" t="s">
        <v>251</v>
      </c>
      <c r="G8" s="8">
        <v>6</v>
      </c>
      <c r="H8" s="8" t="s">
        <v>252</v>
      </c>
      <c r="I8" s="8" t="s">
        <v>253</v>
      </c>
      <c r="J8" s="8">
        <v>6</v>
      </c>
      <c r="K8" s="8" t="s">
        <v>254</v>
      </c>
      <c r="L8" s="8" t="s">
        <v>255</v>
      </c>
      <c r="M8" s="8">
        <v>6</v>
      </c>
      <c r="N8" s="8" t="s">
        <v>256</v>
      </c>
      <c r="O8" s="8" t="s">
        <v>257</v>
      </c>
      <c r="P8" s="8">
        <v>7</v>
      </c>
      <c r="Q8" s="8" t="s">
        <v>258</v>
      </c>
      <c r="R8" s="8" t="s">
        <v>259</v>
      </c>
      <c r="S8" s="8">
        <v>7</v>
      </c>
      <c r="T8" s="8" t="s">
        <v>260</v>
      </c>
      <c r="U8" s="8" t="s">
        <v>261</v>
      </c>
      <c r="V8" s="8">
        <v>6</v>
      </c>
      <c r="W8" s="8" t="s">
        <v>262</v>
      </c>
      <c r="X8" s="8" t="s">
        <v>263</v>
      </c>
      <c r="Y8" s="8">
        <v>7</v>
      </c>
      <c r="Z8" s="8" t="s">
        <v>264</v>
      </c>
      <c r="AA8" s="8" t="s">
        <v>265</v>
      </c>
      <c r="AB8" s="8">
        <v>7</v>
      </c>
      <c r="AC8" s="8" t="s">
        <v>266</v>
      </c>
      <c r="AD8" s="8" t="s">
        <v>267</v>
      </c>
      <c r="AE8" s="8" t="s">
        <v>268</v>
      </c>
      <c r="AF8" s="8" t="s">
        <v>269</v>
      </c>
      <c r="AG8" s="8">
        <v>10</v>
      </c>
      <c r="AH8" s="8" t="s">
        <v>270</v>
      </c>
      <c r="AI8" s="8" t="s">
        <v>271</v>
      </c>
      <c r="AJ8" s="8">
        <v>10</v>
      </c>
      <c r="AK8" s="8" t="s">
        <v>272</v>
      </c>
      <c r="AL8" s="8" t="s">
        <v>273</v>
      </c>
      <c r="AM8" s="8">
        <v>8</v>
      </c>
      <c r="AN8" s="8" t="s">
        <v>274</v>
      </c>
      <c r="AO8" s="8" t="s">
        <v>275</v>
      </c>
      <c r="AP8" s="8">
        <v>9</v>
      </c>
      <c r="AQ8" s="8" t="s">
        <v>276</v>
      </c>
      <c r="AR8" s="8" t="s">
        <v>275</v>
      </c>
      <c r="AS8" s="8">
        <v>8</v>
      </c>
      <c r="AT8" s="8" t="s">
        <v>277</v>
      </c>
      <c r="AU8" s="8" t="s">
        <v>273</v>
      </c>
      <c r="AV8" s="8">
        <v>8</v>
      </c>
      <c r="AW8" s="8" t="s">
        <v>278</v>
      </c>
      <c r="AX8" s="8" t="s">
        <v>279</v>
      </c>
      <c r="AZ8" s="9" t="str">
        <f>HYPERLINK("https://docs.google.com/presentation/d/1VCGN7_aTz8ZEv_PcmY-2yvpvGc_lR2S_1Zs195c-51I/edit?usp=drivesdk","Open Profile")</f>
        <v>Open Profile</v>
      </c>
      <c r="BA8" s="8" t="s">
        <v>280</v>
      </c>
      <c r="BB8" s="10">
        <v>46247.67214962963</v>
      </c>
    </row>
    <row r="9" spans="1:57" ht="22.5" customHeight="1" x14ac:dyDescent="0.25">
      <c r="A9" t="s">
        <v>657</v>
      </c>
      <c r="B9" s="8">
        <v>15</v>
      </c>
      <c r="C9" s="8" t="s">
        <v>1129</v>
      </c>
      <c r="D9" s="8">
        <v>7</v>
      </c>
      <c r="E9" s="8" t="s">
        <v>281</v>
      </c>
      <c r="F9" s="8" t="s">
        <v>282</v>
      </c>
      <c r="G9" s="8">
        <v>6</v>
      </c>
      <c r="H9" s="8" t="s">
        <v>283</v>
      </c>
      <c r="I9" s="8" t="s">
        <v>284</v>
      </c>
      <c r="J9" s="8">
        <v>6</v>
      </c>
      <c r="K9" s="8" t="s">
        <v>285</v>
      </c>
      <c r="L9" s="8" t="s">
        <v>286</v>
      </c>
      <c r="M9" s="8">
        <v>7</v>
      </c>
      <c r="N9" s="8" t="s">
        <v>287</v>
      </c>
      <c r="O9" s="8" t="s">
        <v>288</v>
      </c>
      <c r="P9" s="8">
        <v>7</v>
      </c>
      <c r="Q9" s="8" t="s">
        <v>289</v>
      </c>
      <c r="R9" s="8" t="s">
        <v>290</v>
      </c>
      <c r="S9" s="8">
        <v>6</v>
      </c>
      <c r="T9" s="8" t="s">
        <v>291</v>
      </c>
      <c r="U9" s="8" t="s">
        <v>292</v>
      </c>
      <c r="V9" s="8">
        <v>6</v>
      </c>
      <c r="W9" s="8" t="s">
        <v>293</v>
      </c>
      <c r="X9" s="8" t="s">
        <v>294</v>
      </c>
      <c r="Y9" s="8">
        <v>7</v>
      </c>
      <c r="Z9" s="8" t="s">
        <v>295</v>
      </c>
      <c r="AA9" s="8" t="s">
        <v>296</v>
      </c>
      <c r="AB9" s="8">
        <v>7</v>
      </c>
      <c r="AC9" s="8" t="s">
        <v>297</v>
      </c>
      <c r="AD9" s="8" t="s">
        <v>298</v>
      </c>
      <c r="AE9" s="8" t="s">
        <v>299</v>
      </c>
      <c r="AF9" s="8" t="s">
        <v>300</v>
      </c>
      <c r="AG9" s="8">
        <v>8</v>
      </c>
      <c r="AH9" s="8" t="s">
        <v>301</v>
      </c>
      <c r="AI9" s="8" t="s">
        <v>302</v>
      </c>
      <c r="AJ9" s="8">
        <v>8</v>
      </c>
      <c r="AK9" s="8" t="s">
        <v>303</v>
      </c>
      <c r="AL9" s="8" t="s">
        <v>302</v>
      </c>
      <c r="AM9" s="8">
        <v>8</v>
      </c>
      <c r="AN9" s="8" t="s">
        <v>304</v>
      </c>
      <c r="AO9" s="8" t="s">
        <v>305</v>
      </c>
      <c r="AP9" s="8">
        <v>8</v>
      </c>
      <c r="AQ9" s="8" t="s">
        <v>306</v>
      </c>
      <c r="AR9" s="8" t="s">
        <v>307</v>
      </c>
      <c r="AS9" s="8">
        <v>7</v>
      </c>
      <c r="AT9" s="8" t="s">
        <v>308</v>
      </c>
      <c r="AU9" s="8" t="s">
        <v>309</v>
      </c>
      <c r="AV9" s="8">
        <v>8</v>
      </c>
      <c r="AW9" s="8" t="s">
        <v>310</v>
      </c>
      <c r="AX9" s="8" t="s">
        <v>311</v>
      </c>
      <c r="AY9" s="8" t="s">
        <v>312</v>
      </c>
      <c r="AZ9" s="11" t="str">
        <f>HYPERLINK("https://docs.google.com/presentation/d/1LNDeTDYuHfqBgFkgxfPpjQRRzGLPZ6L1AXB1Dg2p4MA/edit?usp=drivesdk","Open Profile")</f>
        <v>Open Profile</v>
      </c>
      <c r="BA9" s="8" t="s">
        <v>313</v>
      </c>
      <c r="BB9" s="10">
        <v>46247.671853888889</v>
      </c>
    </row>
    <row r="10" spans="1:57" ht="22.5" customHeight="1" x14ac:dyDescent="0.25">
      <c r="A10" t="s">
        <v>657</v>
      </c>
      <c r="B10" s="8">
        <v>71</v>
      </c>
      <c r="C10" s="8" t="s">
        <v>1130</v>
      </c>
      <c r="D10" s="8">
        <v>8</v>
      </c>
      <c r="E10" s="8" t="s">
        <v>314</v>
      </c>
      <c r="F10" s="8" t="s">
        <v>315</v>
      </c>
      <c r="G10" s="8">
        <v>6</v>
      </c>
      <c r="H10" s="8" t="s">
        <v>316</v>
      </c>
      <c r="I10" s="8" t="s">
        <v>317</v>
      </c>
      <c r="J10" s="8">
        <v>7</v>
      </c>
      <c r="K10" s="8" t="s">
        <v>318</v>
      </c>
      <c r="L10" s="8" t="s">
        <v>319</v>
      </c>
      <c r="M10" s="8">
        <v>9</v>
      </c>
      <c r="N10" s="8" t="s">
        <v>320</v>
      </c>
      <c r="O10" s="8" t="s">
        <v>321</v>
      </c>
      <c r="P10" s="8">
        <v>8</v>
      </c>
      <c r="Q10" s="8" t="s">
        <v>322</v>
      </c>
      <c r="R10" s="8" t="s">
        <v>323</v>
      </c>
      <c r="S10" s="8">
        <v>6</v>
      </c>
      <c r="T10" s="8" t="s">
        <v>324</v>
      </c>
      <c r="U10" s="8" t="s">
        <v>325</v>
      </c>
      <c r="V10" s="8">
        <v>7</v>
      </c>
      <c r="W10" s="8" t="s">
        <v>326</v>
      </c>
      <c r="X10" s="8" t="s">
        <v>327</v>
      </c>
      <c r="Y10" s="8">
        <v>7</v>
      </c>
      <c r="Z10" s="8" t="s">
        <v>328</v>
      </c>
      <c r="AA10" s="8" t="s">
        <v>329</v>
      </c>
      <c r="AB10" s="8">
        <v>8</v>
      </c>
      <c r="AC10" s="8" t="s">
        <v>330</v>
      </c>
      <c r="AD10" s="8" t="s">
        <v>330</v>
      </c>
      <c r="AE10" s="8" t="s">
        <v>331</v>
      </c>
      <c r="AF10" s="8" t="s">
        <v>332</v>
      </c>
      <c r="AG10" s="8">
        <v>8</v>
      </c>
      <c r="AH10" s="8" t="s">
        <v>333</v>
      </c>
      <c r="AI10" s="8" t="s">
        <v>302</v>
      </c>
      <c r="AJ10" s="8">
        <v>9</v>
      </c>
      <c r="AK10" s="8" t="s">
        <v>333</v>
      </c>
      <c r="AL10" s="8" t="s">
        <v>240</v>
      </c>
      <c r="AM10" s="8">
        <v>6</v>
      </c>
      <c r="AN10" s="8" t="s">
        <v>334</v>
      </c>
      <c r="AO10" s="8" t="s">
        <v>335</v>
      </c>
      <c r="AP10" s="8">
        <v>7</v>
      </c>
      <c r="AQ10" s="8" t="s">
        <v>334</v>
      </c>
      <c r="AR10" s="8" t="s">
        <v>335</v>
      </c>
      <c r="AS10" s="8">
        <v>6</v>
      </c>
      <c r="AT10" s="8" t="s">
        <v>336</v>
      </c>
      <c r="AU10" s="8" t="s">
        <v>337</v>
      </c>
      <c r="AV10" s="8">
        <v>7</v>
      </c>
      <c r="AW10" s="8" t="s">
        <v>338</v>
      </c>
      <c r="AX10" s="8" t="s">
        <v>339</v>
      </c>
      <c r="AY10" s="8" t="s">
        <v>340</v>
      </c>
      <c r="AZ10" s="11" t="str">
        <f>HYPERLINK("https://docs.google.com/presentation/d/1Zvc1Wc-GtKGh0Dc_AK52shVUjGo4vlYmX4eCrGbB6Yk/edit?usp=drivesdk","Open Profile")</f>
        <v>Open Profile</v>
      </c>
      <c r="BA10" s="8" t="s">
        <v>341</v>
      </c>
      <c r="BB10" s="10">
        <v>46247.672226122682</v>
      </c>
    </row>
    <row r="11" spans="1:57" ht="22.5" customHeight="1" x14ac:dyDescent="0.25">
      <c r="A11" t="s">
        <v>657</v>
      </c>
      <c r="B11" s="8">
        <v>14</v>
      </c>
      <c r="C11" s="8" t="s">
        <v>1131</v>
      </c>
      <c r="D11" s="8">
        <v>5</v>
      </c>
      <c r="E11" s="8" t="s">
        <v>342</v>
      </c>
      <c r="F11" s="8" t="s">
        <v>343</v>
      </c>
      <c r="G11" s="8">
        <v>7</v>
      </c>
      <c r="H11" s="8" t="s">
        <v>344</v>
      </c>
      <c r="I11" s="8" t="s">
        <v>345</v>
      </c>
      <c r="J11" s="8">
        <v>5</v>
      </c>
      <c r="K11" s="8" t="s">
        <v>346</v>
      </c>
      <c r="L11" s="8" t="s">
        <v>347</v>
      </c>
      <c r="M11" s="8">
        <v>7</v>
      </c>
      <c r="N11" s="8" t="s">
        <v>348</v>
      </c>
      <c r="O11" s="8" t="s">
        <v>349</v>
      </c>
      <c r="P11" s="8">
        <v>6</v>
      </c>
      <c r="Q11" s="8" t="s">
        <v>350</v>
      </c>
      <c r="R11" s="8" t="s">
        <v>351</v>
      </c>
      <c r="S11" s="8">
        <v>6</v>
      </c>
      <c r="T11" s="8" t="s">
        <v>352</v>
      </c>
      <c r="U11" s="8" t="s">
        <v>353</v>
      </c>
      <c r="V11" s="8">
        <v>7</v>
      </c>
      <c r="W11" s="8" t="s">
        <v>354</v>
      </c>
      <c r="X11" s="8" t="s">
        <v>355</v>
      </c>
      <c r="Y11" s="8">
        <v>7</v>
      </c>
      <c r="Z11" s="8" t="s">
        <v>356</v>
      </c>
      <c r="AA11" s="8" t="s">
        <v>357</v>
      </c>
      <c r="AB11" s="8">
        <v>8</v>
      </c>
      <c r="AC11" s="8" t="s">
        <v>358</v>
      </c>
      <c r="AD11" s="8" t="s">
        <v>359</v>
      </c>
      <c r="AE11" s="8" t="s">
        <v>360</v>
      </c>
      <c r="AF11" s="8" t="s">
        <v>361</v>
      </c>
      <c r="AG11" s="8">
        <v>9</v>
      </c>
      <c r="AH11" s="8" t="s">
        <v>362</v>
      </c>
      <c r="AI11" s="8" t="s">
        <v>363</v>
      </c>
      <c r="AJ11" s="8">
        <v>10</v>
      </c>
      <c r="AK11" s="8" t="s">
        <v>364</v>
      </c>
      <c r="AL11" s="8" t="s">
        <v>365</v>
      </c>
      <c r="AM11" s="8">
        <v>8</v>
      </c>
      <c r="AN11" s="8" t="s">
        <v>366</v>
      </c>
      <c r="AO11" s="8" t="s">
        <v>367</v>
      </c>
      <c r="AP11" s="8">
        <v>8</v>
      </c>
      <c r="AQ11" s="8" t="s">
        <v>368</v>
      </c>
      <c r="AR11" s="8" t="s">
        <v>369</v>
      </c>
      <c r="AS11" s="8">
        <v>8</v>
      </c>
      <c r="AT11" s="8" t="s">
        <v>370</v>
      </c>
      <c r="AU11" s="8" t="s">
        <v>371</v>
      </c>
      <c r="AV11" s="8">
        <v>8</v>
      </c>
      <c r="AW11" s="8" t="s">
        <v>372</v>
      </c>
      <c r="AX11" s="8" t="s">
        <v>373</v>
      </c>
      <c r="AY11" s="8" t="s">
        <v>374</v>
      </c>
      <c r="AZ11" s="11" t="str">
        <f>HYPERLINK("https://docs.google.com/presentation/d/1ZruEVpJoVRAmBCXRXz0MXq0mikJthMRycxk00D9u3cU/edit?usp=drivesdk","Open Profile")</f>
        <v>Open Profile</v>
      </c>
      <c r="BA11" s="8" t="s">
        <v>375</v>
      </c>
      <c r="BB11" s="10">
        <v>46247.672233923615</v>
      </c>
    </row>
    <row r="12" spans="1:57" ht="22.5" customHeight="1" x14ac:dyDescent="0.25">
      <c r="A12" t="s">
        <v>657</v>
      </c>
      <c r="B12" s="8">
        <v>8</v>
      </c>
      <c r="C12" s="8" t="s">
        <v>1132</v>
      </c>
      <c r="D12" s="8">
        <v>7</v>
      </c>
      <c r="E12" s="8" t="s">
        <v>376</v>
      </c>
      <c r="F12" s="8" t="s">
        <v>377</v>
      </c>
      <c r="G12" s="8">
        <v>3</v>
      </c>
      <c r="H12" s="8" t="s">
        <v>378</v>
      </c>
      <c r="I12" s="8" t="s">
        <v>379</v>
      </c>
      <c r="J12" s="8">
        <v>5</v>
      </c>
      <c r="K12" s="8" t="s">
        <v>380</v>
      </c>
      <c r="L12" s="8" t="s">
        <v>381</v>
      </c>
      <c r="M12" s="8">
        <v>8</v>
      </c>
      <c r="N12" s="8" t="s">
        <v>382</v>
      </c>
      <c r="O12" s="8" t="s">
        <v>383</v>
      </c>
      <c r="P12" s="8">
        <v>7</v>
      </c>
      <c r="Q12" s="8" t="s">
        <v>384</v>
      </c>
      <c r="R12" s="8" t="s">
        <v>385</v>
      </c>
      <c r="S12" s="8">
        <v>6</v>
      </c>
      <c r="T12" s="8" t="s">
        <v>386</v>
      </c>
      <c r="U12" s="8" t="s">
        <v>387</v>
      </c>
      <c r="V12" s="8">
        <v>6</v>
      </c>
      <c r="W12" s="8" t="s">
        <v>388</v>
      </c>
      <c r="X12" s="8" t="s">
        <v>389</v>
      </c>
      <c r="Y12" s="8">
        <v>5</v>
      </c>
      <c r="Z12" s="8" t="s">
        <v>390</v>
      </c>
      <c r="AA12" s="8" t="s">
        <v>391</v>
      </c>
      <c r="AB12" s="8">
        <v>8</v>
      </c>
      <c r="AC12" s="8" t="s">
        <v>68</v>
      </c>
      <c r="AD12" s="8" t="s">
        <v>68</v>
      </c>
      <c r="AE12" s="8" t="s">
        <v>392</v>
      </c>
      <c r="AF12" s="8" t="s">
        <v>393</v>
      </c>
      <c r="AG12" s="8">
        <v>7</v>
      </c>
      <c r="AH12" s="8" t="s">
        <v>394</v>
      </c>
      <c r="AI12" s="8" t="s">
        <v>395</v>
      </c>
      <c r="AJ12" s="8">
        <v>8</v>
      </c>
      <c r="AK12" s="8" t="s">
        <v>394</v>
      </c>
      <c r="AL12" s="8" t="s">
        <v>396</v>
      </c>
      <c r="AM12" s="8">
        <v>7</v>
      </c>
      <c r="AN12" s="8" t="s">
        <v>397</v>
      </c>
      <c r="AO12" s="8" t="s">
        <v>398</v>
      </c>
      <c r="AP12" s="8">
        <v>8</v>
      </c>
      <c r="AQ12" s="8" t="s">
        <v>397</v>
      </c>
      <c r="AR12" s="8" t="s">
        <v>399</v>
      </c>
      <c r="AS12" s="8">
        <v>8</v>
      </c>
      <c r="AT12" s="8" t="s">
        <v>400</v>
      </c>
      <c r="AU12" s="8" t="s">
        <v>401</v>
      </c>
      <c r="AV12" s="8">
        <v>9</v>
      </c>
      <c r="AW12" s="8" t="s">
        <v>402</v>
      </c>
      <c r="AX12" s="8" t="s">
        <v>403</v>
      </c>
      <c r="AZ12" s="9" t="str">
        <f>HYPERLINK("https://docs.google.com/presentation/d/19OPlxPwLz03Q_eNEC9sziEi51lL0drzaxVau7v06soM/edit?usp=drivesdk","Open Profile")</f>
        <v>Open Profile</v>
      </c>
      <c r="BA12" s="8" t="s">
        <v>404</v>
      </c>
      <c r="BB12" s="10">
        <v>46247.6720040625</v>
      </c>
    </row>
    <row r="13" spans="1:57" ht="22.5" customHeight="1" x14ac:dyDescent="0.25">
      <c r="A13" t="s">
        <v>657</v>
      </c>
      <c r="B13" s="8">
        <v>21</v>
      </c>
      <c r="C13" s="8" t="s">
        <v>1133</v>
      </c>
      <c r="D13" s="8">
        <v>8</v>
      </c>
      <c r="E13" s="8" t="s">
        <v>405</v>
      </c>
      <c r="F13" s="8" t="s">
        <v>406</v>
      </c>
      <c r="G13" s="8">
        <v>9</v>
      </c>
      <c r="H13" s="8" t="s">
        <v>407</v>
      </c>
      <c r="I13" s="8" t="s">
        <v>408</v>
      </c>
      <c r="J13" s="8">
        <v>7</v>
      </c>
      <c r="K13" s="8" t="s">
        <v>409</v>
      </c>
      <c r="L13" s="8" t="s">
        <v>410</v>
      </c>
      <c r="M13" s="8">
        <v>8</v>
      </c>
      <c r="N13" s="8" t="s">
        <v>411</v>
      </c>
      <c r="O13" s="8" t="s">
        <v>412</v>
      </c>
      <c r="P13" s="8">
        <v>9</v>
      </c>
      <c r="Q13" s="8" t="s">
        <v>413</v>
      </c>
      <c r="R13" s="8" t="s">
        <v>414</v>
      </c>
      <c r="S13" s="8">
        <v>7</v>
      </c>
      <c r="T13" s="8" t="s">
        <v>415</v>
      </c>
      <c r="U13" s="8" t="s">
        <v>416</v>
      </c>
      <c r="V13" s="8">
        <v>8</v>
      </c>
      <c r="W13" s="8" t="s">
        <v>417</v>
      </c>
      <c r="X13" s="8" t="s">
        <v>418</v>
      </c>
      <c r="Y13" s="8">
        <v>9</v>
      </c>
      <c r="Z13" s="8" t="s">
        <v>419</v>
      </c>
      <c r="AA13" s="8" t="s">
        <v>420</v>
      </c>
      <c r="AB13" s="8">
        <v>7</v>
      </c>
      <c r="AC13" s="8" t="s">
        <v>421</v>
      </c>
      <c r="AD13" s="8" t="s">
        <v>422</v>
      </c>
      <c r="AE13" s="8" t="s">
        <v>423</v>
      </c>
      <c r="AF13" s="8" t="s">
        <v>424</v>
      </c>
      <c r="AG13" s="8">
        <v>9</v>
      </c>
      <c r="AH13" s="8" t="s">
        <v>425</v>
      </c>
      <c r="AI13" s="8" t="s">
        <v>426</v>
      </c>
      <c r="AJ13" s="8">
        <v>8</v>
      </c>
      <c r="AK13" s="8" t="s">
        <v>427</v>
      </c>
      <c r="AL13" s="8" t="s">
        <v>428</v>
      </c>
      <c r="AM13" s="8">
        <v>8</v>
      </c>
      <c r="AN13" s="8" t="s">
        <v>429</v>
      </c>
      <c r="AO13" s="8" t="s">
        <v>430</v>
      </c>
      <c r="AP13" s="8">
        <v>9</v>
      </c>
      <c r="AQ13" s="8" t="s">
        <v>431</v>
      </c>
      <c r="AR13" s="8" t="s">
        <v>432</v>
      </c>
      <c r="AS13" s="8">
        <v>7</v>
      </c>
      <c r="AT13" s="8" t="s">
        <v>433</v>
      </c>
      <c r="AU13" s="8" t="s">
        <v>434</v>
      </c>
      <c r="AV13" s="8">
        <v>10</v>
      </c>
      <c r="AW13" s="8" t="s">
        <v>435</v>
      </c>
      <c r="AX13" s="8" t="s">
        <v>436</v>
      </c>
      <c r="AY13" s="8" t="s">
        <v>437</v>
      </c>
      <c r="AZ13" s="11" t="str">
        <f>HYPERLINK("https://docs.google.com/presentation/d/1S05c8tknrH8Aj2v2kBMkPmRRVtAT_V7cYFsRAOu2vRI/edit?usp=drivesdk","Open Profile")</f>
        <v>Open Profile</v>
      </c>
      <c r="BA13" s="8" t="s">
        <v>438</v>
      </c>
      <c r="BB13" s="10">
        <v>46247.672291921292</v>
      </c>
    </row>
    <row r="14" spans="1:57" ht="22.5" customHeight="1" x14ac:dyDescent="0.25">
      <c r="A14" t="s">
        <v>657</v>
      </c>
      <c r="B14" s="8">
        <v>42</v>
      </c>
      <c r="C14" s="8" t="s">
        <v>1134</v>
      </c>
      <c r="D14" s="8">
        <v>4</v>
      </c>
      <c r="E14" s="8" t="s">
        <v>439</v>
      </c>
      <c r="F14" s="8" t="s">
        <v>440</v>
      </c>
      <c r="G14" s="8">
        <v>4</v>
      </c>
      <c r="H14" s="8" t="s">
        <v>441</v>
      </c>
      <c r="I14" s="8" t="s">
        <v>442</v>
      </c>
      <c r="J14" s="8">
        <v>3</v>
      </c>
      <c r="K14" s="8" t="s">
        <v>443</v>
      </c>
      <c r="L14" s="8" t="s">
        <v>444</v>
      </c>
      <c r="M14" s="8">
        <v>5</v>
      </c>
      <c r="N14" s="8" t="s">
        <v>445</v>
      </c>
      <c r="O14" s="8" t="s">
        <v>446</v>
      </c>
      <c r="P14" s="8">
        <v>5</v>
      </c>
      <c r="Q14" s="8" t="s">
        <v>447</v>
      </c>
      <c r="R14" s="8" t="s">
        <v>448</v>
      </c>
      <c r="S14" s="8">
        <v>5</v>
      </c>
      <c r="T14" s="8" t="s">
        <v>449</v>
      </c>
      <c r="U14" s="8" t="s">
        <v>450</v>
      </c>
      <c r="V14" s="8">
        <v>5</v>
      </c>
      <c r="W14" s="8" t="s">
        <v>451</v>
      </c>
      <c r="X14" s="8" t="s">
        <v>452</v>
      </c>
      <c r="Y14" s="8">
        <v>3</v>
      </c>
      <c r="Z14" s="8" t="s">
        <v>443</v>
      </c>
      <c r="AA14" s="8" t="s">
        <v>453</v>
      </c>
      <c r="AB14" s="8">
        <v>6</v>
      </c>
      <c r="AC14" s="8" t="s">
        <v>454</v>
      </c>
      <c r="AD14" s="8" t="s">
        <v>455</v>
      </c>
      <c r="AE14" s="8" t="s">
        <v>456</v>
      </c>
      <c r="AF14" s="8" t="s">
        <v>457</v>
      </c>
      <c r="AG14" s="8">
        <v>8</v>
      </c>
      <c r="AH14" s="8" t="s">
        <v>458</v>
      </c>
      <c r="AI14" s="8" t="s">
        <v>459</v>
      </c>
      <c r="AJ14" s="8">
        <v>8</v>
      </c>
      <c r="AK14" s="8" t="s">
        <v>460</v>
      </c>
      <c r="AL14" s="8" t="s">
        <v>461</v>
      </c>
      <c r="AM14" s="8">
        <v>8</v>
      </c>
      <c r="AN14" s="8" t="s">
        <v>462</v>
      </c>
      <c r="AO14" s="8" t="s">
        <v>463</v>
      </c>
      <c r="AP14" s="8">
        <v>8</v>
      </c>
      <c r="AQ14" s="8" t="s">
        <v>462</v>
      </c>
      <c r="AR14" s="8" t="s">
        <v>464</v>
      </c>
      <c r="AS14" s="8">
        <v>7</v>
      </c>
      <c r="AT14" s="8">
        <v>8</v>
      </c>
      <c r="AU14" s="8" t="s">
        <v>465</v>
      </c>
      <c r="AV14" s="8" t="s">
        <v>466</v>
      </c>
      <c r="AW14" s="8"/>
      <c r="AX14" s="12" t="str">
        <f>HYPERLINK("https://docs.google.com/presentation/d/1Z08Upl9m4PWuv191zzLHE4vO2uQT4RM6XIw_Ttdzj1c/edit?usp=drivesdk","Open Profile")</f>
        <v>Open Profile</v>
      </c>
      <c r="AY14" s="8" t="s">
        <v>467</v>
      </c>
      <c r="AZ14" s="10">
        <v>46247.672445509263</v>
      </c>
    </row>
    <row r="15" spans="1:57" ht="22.5" customHeight="1" x14ac:dyDescent="0.25">
      <c r="A15" t="s">
        <v>657</v>
      </c>
      <c r="B15" s="8">
        <v>72</v>
      </c>
      <c r="C15" s="8" t="s">
        <v>1135</v>
      </c>
      <c r="D15" s="8">
        <v>4</v>
      </c>
      <c r="E15" s="8" t="s">
        <v>468</v>
      </c>
      <c r="F15" s="8" t="s">
        <v>469</v>
      </c>
      <c r="G15" s="8">
        <v>6</v>
      </c>
      <c r="H15" s="8" t="s">
        <v>470</v>
      </c>
      <c r="I15" s="8" t="s">
        <v>471</v>
      </c>
      <c r="J15" s="8">
        <v>7</v>
      </c>
      <c r="K15" s="8" t="s">
        <v>472</v>
      </c>
      <c r="L15" s="8" t="s">
        <v>473</v>
      </c>
      <c r="M15" s="8">
        <v>8</v>
      </c>
      <c r="N15" s="8" t="s">
        <v>474</v>
      </c>
      <c r="O15" s="8" t="s">
        <v>475</v>
      </c>
      <c r="P15" s="8">
        <v>8</v>
      </c>
      <c r="Q15" s="8" t="s">
        <v>476</v>
      </c>
      <c r="R15" s="8" t="s">
        <v>477</v>
      </c>
      <c r="S15" s="8">
        <v>7</v>
      </c>
      <c r="T15" s="8" t="s">
        <v>478</v>
      </c>
      <c r="U15" s="8" t="s">
        <v>479</v>
      </c>
      <c r="V15" s="8">
        <v>5</v>
      </c>
      <c r="W15" s="8" t="s">
        <v>480</v>
      </c>
      <c r="X15" s="8" t="s">
        <v>481</v>
      </c>
      <c r="Y15" s="8">
        <v>3</v>
      </c>
      <c r="Z15" s="8" t="s">
        <v>482</v>
      </c>
      <c r="AA15" s="8" t="s">
        <v>483</v>
      </c>
      <c r="AB15" s="8">
        <v>8</v>
      </c>
      <c r="AC15" s="8" t="s">
        <v>484</v>
      </c>
      <c r="AD15" s="8" t="s">
        <v>485</v>
      </c>
      <c r="AE15" s="8" t="s">
        <v>486</v>
      </c>
      <c r="AF15" s="8" t="s">
        <v>487</v>
      </c>
      <c r="AG15" s="8">
        <v>8</v>
      </c>
      <c r="AH15" s="8" t="s">
        <v>488</v>
      </c>
      <c r="AI15" s="8" t="s">
        <v>489</v>
      </c>
      <c r="AJ15" s="8">
        <v>8</v>
      </c>
      <c r="AK15" s="8" t="s">
        <v>490</v>
      </c>
      <c r="AL15" s="8" t="s">
        <v>491</v>
      </c>
      <c r="AM15" s="8">
        <v>9</v>
      </c>
      <c r="AN15" s="8" t="s">
        <v>492</v>
      </c>
      <c r="AO15" s="8" t="s">
        <v>493</v>
      </c>
      <c r="AP15" s="8">
        <v>9</v>
      </c>
      <c r="AQ15" s="8" t="s">
        <v>494</v>
      </c>
      <c r="AR15" s="8" t="s">
        <v>495</v>
      </c>
      <c r="AS15" s="8">
        <v>5</v>
      </c>
      <c r="AT15" s="8">
        <v>9</v>
      </c>
      <c r="AU15" s="8" t="s">
        <v>496</v>
      </c>
      <c r="AV15" s="8" t="s">
        <v>497</v>
      </c>
      <c r="AW15" s="8" t="s">
        <v>498</v>
      </c>
      <c r="AX15" s="12" t="str">
        <f>HYPERLINK("https://docs.google.com/presentation/d/1sURpbGPP1lABh9clDFrR6n43O_P6T8wIc-kLu_bUxaQ/edit?usp=drivesdk","Open Profile")</f>
        <v>Open Profile</v>
      </c>
      <c r="AY15" s="8" t="s">
        <v>499</v>
      </c>
      <c r="AZ15" s="10">
        <v>46247.672269872681</v>
      </c>
    </row>
    <row r="16" spans="1:57" ht="22.5" customHeight="1" x14ac:dyDescent="0.25">
      <c r="A16" t="s">
        <v>657</v>
      </c>
      <c r="B16" s="8">
        <v>27</v>
      </c>
      <c r="C16" s="8" t="s">
        <v>1136</v>
      </c>
      <c r="D16" s="8">
        <v>5</v>
      </c>
      <c r="E16" s="8" t="s">
        <v>500</v>
      </c>
      <c r="F16" s="8" t="s">
        <v>501</v>
      </c>
      <c r="G16" s="8">
        <v>6</v>
      </c>
      <c r="H16" s="8" t="s">
        <v>502</v>
      </c>
      <c r="I16" s="8" t="s">
        <v>503</v>
      </c>
      <c r="J16" s="8">
        <v>5</v>
      </c>
      <c r="K16" s="8" t="s">
        <v>504</v>
      </c>
      <c r="L16" s="8" t="s">
        <v>505</v>
      </c>
      <c r="M16" s="8">
        <v>7</v>
      </c>
      <c r="N16" s="8" t="s">
        <v>506</v>
      </c>
      <c r="O16" s="8" t="s">
        <v>507</v>
      </c>
      <c r="P16" s="8">
        <v>7</v>
      </c>
      <c r="Q16" s="8" t="s">
        <v>508</v>
      </c>
      <c r="R16" s="8" t="s">
        <v>509</v>
      </c>
      <c r="S16" s="8">
        <v>4</v>
      </c>
      <c r="T16" s="8" t="s">
        <v>510</v>
      </c>
      <c r="U16" s="8" t="s">
        <v>511</v>
      </c>
      <c r="V16" s="8">
        <v>7</v>
      </c>
      <c r="W16" s="8" t="s">
        <v>512</v>
      </c>
      <c r="X16" s="8" t="s">
        <v>513</v>
      </c>
      <c r="Y16" s="8">
        <v>7</v>
      </c>
      <c r="Z16" s="8" t="s">
        <v>514</v>
      </c>
      <c r="AA16" s="8" t="s">
        <v>515</v>
      </c>
      <c r="AB16" s="8">
        <v>7</v>
      </c>
      <c r="AC16" s="8" t="s">
        <v>516</v>
      </c>
      <c r="AD16" s="8" t="s">
        <v>517</v>
      </c>
      <c r="AE16" s="8" t="s">
        <v>518</v>
      </c>
      <c r="AF16" s="8" t="s">
        <v>519</v>
      </c>
      <c r="AG16" s="8">
        <v>8</v>
      </c>
      <c r="AH16" s="8" t="s">
        <v>520</v>
      </c>
      <c r="AI16" s="8" t="s">
        <v>521</v>
      </c>
      <c r="AJ16" s="8">
        <v>8</v>
      </c>
      <c r="AK16" s="8" t="s">
        <v>522</v>
      </c>
      <c r="AL16" s="8" t="s">
        <v>523</v>
      </c>
      <c r="AM16" s="8">
        <v>7</v>
      </c>
      <c r="AN16" s="8" t="s">
        <v>524</v>
      </c>
      <c r="AO16" s="8" t="s">
        <v>525</v>
      </c>
      <c r="AP16" s="8">
        <v>8</v>
      </c>
      <c r="AQ16" s="8" t="s">
        <v>526</v>
      </c>
      <c r="AR16" s="8" t="s">
        <v>527</v>
      </c>
      <c r="AS16" s="8">
        <v>5</v>
      </c>
      <c r="AT16" s="8">
        <v>8</v>
      </c>
      <c r="AU16" s="8" t="s">
        <v>528</v>
      </c>
      <c r="AV16" s="8" t="s">
        <v>529</v>
      </c>
      <c r="AX16" s="12" t="str">
        <f>HYPERLINK("https://docs.google.com/presentation/d/1oC13j20Nu-uV9F_fh4OAsX7M20iZnrjbTu75gsWTGEY/edit?usp=drivesdk","Open Profile")</f>
        <v>Open Profile</v>
      </c>
      <c r="AY16" s="8" t="s">
        <v>530</v>
      </c>
      <c r="AZ16" s="10">
        <v>46247.674237025465</v>
      </c>
    </row>
    <row r="17" spans="1:52" ht="22.5" customHeight="1" x14ac:dyDescent="0.25">
      <c r="A17" t="s">
        <v>657</v>
      </c>
      <c r="B17" s="8">
        <v>13</v>
      </c>
      <c r="C17" s="8" t="s">
        <v>1137</v>
      </c>
      <c r="D17" s="8">
        <v>7</v>
      </c>
      <c r="E17" s="8" t="s">
        <v>531</v>
      </c>
      <c r="F17" s="8" t="s">
        <v>532</v>
      </c>
      <c r="G17" s="8">
        <v>7</v>
      </c>
      <c r="H17" s="8" t="s">
        <v>533</v>
      </c>
      <c r="I17" s="8" t="s">
        <v>534</v>
      </c>
      <c r="J17" s="8">
        <v>8</v>
      </c>
      <c r="K17" s="8" t="s">
        <v>535</v>
      </c>
      <c r="L17" s="8" t="s">
        <v>536</v>
      </c>
      <c r="M17" s="8">
        <v>9</v>
      </c>
      <c r="N17" s="8" t="s">
        <v>537</v>
      </c>
      <c r="O17" s="8" t="s">
        <v>538</v>
      </c>
      <c r="P17" s="8">
        <v>7</v>
      </c>
      <c r="Q17" s="8" t="s">
        <v>539</v>
      </c>
      <c r="R17" s="8" t="s">
        <v>540</v>
      </c>
      <c r="S17" s="8">
        <v>7</v>
      </c>
      <c r="T17" s="8" t="s">
        <v>541</v>
      </c>
      <c r="U17" s="8" t="s">
        <v>542</v>
      </c>
      <c r="V17" s="8">
        <v>7</v>
      </c>
      <c r="W17" s="8" t="s">
        <v>543</v>
      </c>
      <c r="X17" s="8" t="s">
        <v>544</v>
      </c>
      <c r="Y17" s="8">
        <v>7</v>
      </c>
      <c r="Z17" s="8" t="s">
        <v>545</v>
      </c>
      <c r="AA17" s="8" t="s">
        <v>546</v>
      </c>
      <c r="AB17" s="8">
        <v>8</v>
      </c>
      <c r="AC17" s="8" t="s">
        <v>547</v>
      </c>
      <c r="AD17" s="8" t="s">
        <v>548</v>
      </c>
      <c r="AE17" s="8" t="s">
        <v>549</v>
      </c>
      <c r="AF17" s="8" t="s">
        <v>550</v>
      </c>
      <c r="AG17" s="8">
        <v>9</v>
      </c>
      <c r="AH17" s="8" t="s">
        <v>551</v>
      </c>
      <c r="AI17" s="8" t="s">
        <v>552</v>
      </c>
      <c r="AJ17" s="8">
        <v>9</v>
      </c>
      <c r="AK17" s="8" t="s">
        <v>553</v>
      </c>
      <c r="AL17" s="8" t="s">
        <v>554</v>
      </c>
      <c r="AM17" s="8">
        <v>8</v>
      </c>
      <c r="AN17" s="8" t="s">
        <v>555</v>
      </c>
      <c r="AO17" s="8" t="s">
        <v>556</v>
      </c>
      <c r="AP17" s="8">
        <v>7</v>
      </c>
      <c r="AQ17" s="8" t="s">
        <v>557</v>
      </c>
      <c r="AR17" s="8" t="s">
        <v>558</v>
      </c>
      <c r="AS17" s="8">
        <v>8</v>
      </c>
      <c r="AT17" s="8">
        <v>9</v>
      </c>
      <c r="AU17" s="8" t="s">
        <v>559</v>
      </c>
      <c r="AV17" s="8" t="s">
        <v>560</v>
      </c>
      <c r="AW17" s="8" t="s">
        <v>561</v>
      </c>
      <c r="AX17" s="12" t="str">
        <f>HYPERLINK("https://docs.google.com/presentation/d/1tUvr7Y_iXF8hyQowyRnp2d8GraA_REljcaBon4Zivgw/edit?usp=drivesdk","Open Profile")</f>
        <v>Open Profile</v>
      </c>
      <c r="AY17" s="8" t="s">
        <v>562</v>
      </c>
      <c r="AZ17" s="10">
        <v>46247.672473437502</v>
      </c>
    </row>
    <row r="18" spans="1:52" ht="22.5" customHeight="1" x14ac:dyDescent="0.25">
      <c r="A18" t="s">
        <v>657</v>
      </c>
      <c r="B18" s="8">
        <v>23</v>
      </c>
      <c r="C18" s="8" t="s">
        <v>1138</v>
      </c>
      <c r="D18" s="8">
        <v>6</v>
      </c>
      <c r="E18" s="8" t="s">
        <v>563</v>
      </c>
      <c r="F18" s="8" t="s">
        <v>564</v>
      </c>
      <c r="G18" s="8">
        <v>7</v>
      </c>
      <c r="H18" s="8" t="s">
        <v>565</v>
      </c>
      <c r="I18" s="8" t="s">
        <v>566</v>
      </c>
      <c r="J18" s="8">
        <v>4</v>
      </c>
      <c r="K18" s="8" t="s">
        <v>567</v>
      </c>
      <c r="L18" s="8" t="s">
        <v>568</v>
      </c>
      <c r="M18" s="8">
        <v>8</v>
      </c>
      <c r="N18" s="8" t="s">
        <v>569</v>
      </c>
      <c r="O18" s="8" t="s">
        <v>570</v>
      </c>
      <c r="P18" s="8">
        <v>5</v>
      </c>
      <c r="Q18" s="8" t="s">
        <v>571</v>
      </c>
      <c r="R18" s="8" t="s">
        <v>572</v>
      </c>
      <c r="S18" s="8">
        <v>5</v>
      </c>
      <c r="T18" s="8" t="s">
        <v>573</v>
      </c>
      <c r="U18" s="8" t="s">
        <v>574</v>
      </c>
      <c r="V18" s="8">
        <v>6</v>
      </c>
      <c r="W18" s="8" t="s">
        <v>575</v>
      </c>
      <c r="X18" s="8" t="s">
        <v>576</v>
      </c>
      <c r="Y18" s="8">
        <v>3</v>
      </c>
      <c r="Z18" s="8" t="s">
        <v>577</v>
      </c>
      <c r="AA18" s="8" t="s">
        <v>578</v>
      </c>
      <c r="AB18" s="8">
        <v>8</v>
      </c>
      <c r="AC18" s="8" t="s">
        <v>579</v>
      </c>
      <c r="AD18" s="8" t="s">
        <v>580</v>
      </c>
      <c r="AE18" s="8" t="s">
        <v>581</v>
      </c>
      <c r="AF18" s="8" t="s">
        <v>582</v>
      </c>
      <c r="AG18" s="8">
        <v>8</v>
      </c>
      <c r="AH18" s="8" t="s">
        <v>583</v>
      </c>
      <c r="AI18" s="8" t="s">
        <v>584</v>
      </c>
      <c r="AJ18" s="8">
        <v>9</v>
      </c>
      <c r="AK18" s="8" t="s">
        <v>585</v>
      </c>
      <c r="AL18" s="8" t="s">
        <v>586</v>
      </c>
      <c r="AM18" s="8">
        <v>8</v>
      </c>
      <c r="AN18" s="8" t="s">
        <v>587</v>
      </c>
      <c r="AO18" s="8" t="s">
        <v>588</v>
      </c>
      <c r="AP18" s="8">
        <v>8</v>
      </c>
      <c r="AQ18" s="8" t="s">
        <v>589</v>
      </c>
      <c r="AR18" s="8" t="s">
        <v>588</v>
      </c>
      <c r="AS18" s="8">
        <v>8</v>
      </c>
      <c r="AT18" s="8">
        <v>10</v>
      </c>
      <c r="AU18" s="8" t="s">
        <v>590</v>
      </c>
      <c r="AV18" s="8" t="s">
        <v>591</v>
      </c>
      <c r="AX18" s="12" t="str">
        <f>HYPERLINK("https://docs.google.com/presentation/d/1_5VO_28J5kEujyqgJETLAR2C4RFAKDaqEUDpkgBNzMs/edit?usp=drivesdk","Open Profile")</f>
        <v>Open Profile</v>
      </c>
      <c r="AY18" s="8" t="s">
        <v>592</v>
      </c>
      <c r="AZ18" s="10">
        <v>46247.672770370365</v>
      </c>
    </row>
    <row r="19" spans="1:52" ht="22.5" customHeight="1" x14ac:dyDescent="0.25">
      <c r="A19" t="s">
        <v>657</v>
      </c>
      <c r="B19" s="8">
        <v>9</v>
      </c>
      <c r="C19" s="8" t="s">
        <v>1139</v>
      </c>
      <c r="D19" s="8">
        <v>8</v>
      </c>
      <c r="E19" s="8" t="s">
        <v>593</v>
      </c>
      <c r="F19" s="8" t="s">
        <v>594</v>
      </c>
      <c r="G19" s="8">
        <v>6</v>
      </c>
      <c r="H19" s="8" t="s">
        <v>595</v>
      </c>
      <c r="I19" s="8" t="s">
        <v>596</v>
      </c>
      <c r="J19" s="8">
        <v>7</v>
      </c>
      <c r="K19" s="8" t="s">
        <v>597</v>
      </c>
      <c r="L19" s="8" t="s">
        <v>598</v>
      </c>
      <c r="M19" s="8">
        <v>8</v>
      </c>
      <c r="N19" s="8" t="s">
        <v>599</v>
      </c>
      <c r="O19" s="8" t="s">
        <v>600</v>
      </c>
      <c r="P19" s="8">
        <v>8</v>
      </c>
      <c r="Q19" s="8" t="s">
        <v>601</v>
      </c>
      <c r="R19" s="8" t="s">
        <v>602</v>
      </c>
      <c r="S19" s="8">
        <v>8</v>
      </c>
      <c r="T19" s="8" t="s">
        <v>603</v>
      </c>
      <c r="U19" s="8" t="s">
        <v>604</v>
      </c>
      <c r="V19" s="8">
        <v>7</v>
      </c>
      <c r="W19" s="8" t="s">
        <v>605</v>
      </c>
      <c r="X19" s="8" t="s">
        <v>606</v>
      </c>
      <c r="Y19" s="8">
        <v>7</v>
      </c>
      <c r="Z19" s="8" t="s">
        <v>607</v>
      </c>
      <c r="AA19" s="8" t="s">
        <v>608</v>
      </c>
      <c r="AB19" s="8">
        <v>8</v>
      </c>
      <c r="AC19" s="8" t="s">
        <v>609</v>
      </c>
      <c r="AD19" s="8" t="s">
        <v>610</v>
      </c>
      <c r="AE19" s="8" t="s">
        <v>611</v>
      </c>
      <c r="AF19" s="8" t="s">
        <v>612</v>
      </c>
      <c r="AG19" s="8">
        <v>10</v>
      </c>
      <c r="AH19" s="8" t="s">
        <v>613</v>
      </c>
      <c r="AI19" s="8" t="s">
        <v>614</v>
      </c>
      <c r="AJ19" s="8">
        <v>10</v>
      </c>
      <c r="AK19" s="8" t="s">
        <v>615</v>
      </c>
      <c r="AL19" s="8" t="s">
        <v>616</v>
      </c>
      <c r="AM19" s="8">
        <v>9</v>
      </c>
      <c r="AN19" s="8" t="s">
        <v>617</v>
      </c>
      <c r="AO19" s="8" t="s">
        <v>618</v>
      </c>
      <c r="AP19" s="8">
        <v>10</v>
      </c>
      <c r="AQ19" s="8" t="s">
        <v>619</v>
      </c>
      <c r="AR19" s="8" t="s">
        <v>620</v>
      </c>
      <c r="AS19" s="8">
        <v>8</v>
      </c>
      <c r="AT19" s="8">
        <v>9</v>
      </c>
      <c r="AU19" s="8" t="s">
        <v>621</v>
      </c>
      <c r="AV19" s="8" t="s">
        <v>622</v>
      </c>
      <c r="AW19" s="8" t="s">
        <v>623</v>
      </c>
      <c r="AX19" s="12" t="str">
        <f>HYPERLINK("https://docs.google.com/presentation/d/1cvnNw3_Ii8HCCY8-6idBsE6uZkG8Iv15nIk2hcjzAh0/edit?usp=drivesdk","Open Profile")</f>
        <v>Open Profile</v>
      </c>
      <c r="AY19" s="8" t="s">
        <v>624</v>
      </c>
      <c r="AZ19" s="10">
        <v>46247.672804791669</v>
      </c>
    </row>
    <row r="20" spans="1:52" ht="22.5" customHeight="1" x14ac:dyDescent="0.25">
      <c r="A20" t="s">
        <v>657</v>
      </c>
      <c r="B20" s="8">
        <v>81</v>
      </c>
      <c r="C20" s="8" t="s">
        <v>1140</v>
      </c>
      <c r="D20" s="8">
        <v>8</v>
      </c>
      <c r="E20" s="8" t="s">
        <v>625</v>
      </c>
      <c r="F20" s="8" t="s">
        <v>626</v>
      </c>
      <c r="G20" s="8">
        <v>7</v>
      </c>
      <c r="H20" s="8" t="s">
        <v>627</v>
      </c>
      <c r="I20" s="8" t="s">
        <v>628</v>
      </c>
      <c r="J20" s="8">
        <v>6</v>
      </c>
      <c r="K20" s="8" t="s">
        <v>629</v>
      </c>
      <c r="L20" s="8" t="s">
        <v>630</v>
      </c>
      <c r="M20" s="8">
        <v>7</v>
      </c>
      <c r="N20" s="8" t="s">
        <v>631</v>
      </c>
      <c r="O20" s="8" t="s">
        <v>632</v>
      </c>
      <c r="P20" s="8">
        <v>7</v>
      </c>
      <c r="Q20" s="8" t="s">
        <v>633</v>
      </c>
      <c r="R20" s="8" t="s">
        <v>634</v>
      </c>
      <c r="S20" s="8">
        <v>8</v>
      </c>
      <c r="T20" s="8" t="s">
        <v>635</v>
      </c>
      <c r="U20" s="8" t="s">
        <v>636</v>
      </c>
      <c r="V20" s="8">
        <v>5</v>
      </c>
      <c r="W20" s="8" t="s">
        <v>637</v>
      </c>
      <c r="X20" s="8" t="s">
        <v>638</v>
      </c>
      <c r="Y20" s="8">
        <v>7</v>
      </c>
      <c r="Z20" s="8" t="s">
        <v>639</v>
      </c>
      <c r="AA20" s="8" t="s">
        <v>640</v>
      </c>
      <c r="AB20" s="8">
        <v>8</v>
      </c>
      <c r="AC20" s="8" t="s">
        <v>641</v>
      </c>
      <c r="AD20" s="8" t="s">
        <v>642</v>
      </c>
      <c r="AE20" s="8" t="s">
        <v>643</v>
      </c>
      <c r="AF20" s="8" t="s">
        <v>644</v>
      </c>
      <c r="AG20" s="8">
        <v>7</v>
      </c>
      <c r="AH20" s="8" t="s">
        <v>645</v>
      </c>
      <c r="AI20" s="8" t="s">
        <v>646</v>
      </c>
      <c r="AJ20" s="8">
        <v>8</v>
      </c>
      <c r="AK20" s="8" t="s">
        <v>647</v>
      </c>
      <c r="AL20" s="8" t="s">
        <v>648</v>
      </c>
      <c r="AM20" s="8">
        <v>7</v>
      </c>
      <c r="AN20" s="8" t="s">
        <v>649</v>
      </c>
      <c r="AO20" s="8" t="s">
        <v>650</v>
      </c>
      <c r="AP20" s="8">
        <v>7</v>
      </c>
      <c r="AQ20" s="8" t="s">
        <v>651</v>
      </c>
      <c r="AR20" s="8" t="s">
        <v>652</v>
      </c>
      <c r="AS20" s="8">
        <v>8</v>
      </c>
      <c r="AT20" s="8">
        <v>8</v>
      </c>
      <c r="AU20" s="8" t="s">
        <v>653</v>
      </c>
      <c r="AV20" s="8" t="s">
        <v>654</v>
      </c>
      <c r="AX20" s="12" t="str">
        <f>HYPERLINK("https://docs.google.com/presentation/d/1bAxIk0Jdlp5Q8ZQzqpyKik9CMugvI2veISOldIbZngI/edit?usp=drivesdk","Open Profile")</f>
        <v>Open Profile</v>
      </c>
      <c r="AY20" s="8" t="s">
        <v>655</v>
      </c>
      <c r="AZ20" s="10">
        <v>46247.672488854165</v>
      </c>
    </row>
    <row r="21" spans="1:52" ht="22.5" customHeight="1" x14ac:dyDescent="0.25">
      <c r="A21" s="7" t="s">
        <v>1121</v>
      </c>
      <c r="B21" s="8">
        <v>27</v>
      </c>
      <c r="C21" s="8" t="s">
        <v>658</v>
      </c>
      <c r="D21" s="8">
        <v>6</v>
      </c>
      <c r="E21" s="8" t="s">
        <v>659</v>
      </c>
      <c r="F21" s="8" t="s">
        <v>660</v>
      </c>
      <c r="G21" s="8">
        <v>7</v>
      </c>
      <c r="H21" s="8" t="s">
        <v>661</v>
      </c>
      <c r="I21" s="8" t="s">
        <v>662</v>
      </c>
      <c r="J21" s="8">
        <v>6</v>
      </c>
      <c r="K21" s="8" t="s">
        <v>663</v>
      </c>
      <c r="L21" s="8" t="s">
        <v>664</v>
      </c>
      <c r="M21" s="8">
        <v>7</v>
      </c>
      <c r="N21" s="8" t="s">
        <v>665</v>
      </c>
      <c r="O21" s="8" t="s">
        <v>666</v>
      </c>
      <c r="P21" s="8">
        <v>7</v>
      </c>
      <c r="Q21" s="8" t="s">
        <v>667</v>
      </c>
      <c r="R21" s="8" t="s">
        <v>668</v>
      </c>
      <c r="S21" s="8">
        <v>5</v>
      </c>
      <c r="T21" s="8" t="s">
        <v>669</v>
      </c>
      <c r="U21" s="8" t="s">
        <v>670</v>
      </c>
      <c r="V21" s="8">
        <v>6</v>
      </c>
      <c r="W21" s="8" t="s">
        <v>671</v>
      </c>
      <c r="X21" s="8" t="s">
        <v>672</v>
      </c>
      <c r="Y21" s="8">
        <v>4</v>
      </c>
      <c r="Z21" s="8" t="s">
        <v>673</v>
      </c>
      <c r="AA21" s="8" t="s">
        <v>674</v>
      </c>
      <c r="AB21" s="8">
        <v>7</v>
      </c>
      <c r="AC21" s="8" t="s">
        <v>675</v>
      </c>
      <c r="AD21" s="8" t="s">
        <v>676</v>
      </c>
      <c r="AE21" s="8" t="s">
        <v>677</v>
      </c>
      <c r="AF21" s="8" t="s">
        <v>678</v>
      </c>
      <c r="AG21" s="8">
        <v>8</v>
      </c>
      <c r="AH21" s="8" t="s">
        <v>679</v>
      </c>
      <c r="AI21" s="8" t="s">
        <v>680</v>
      </c>
      <c r="AJ21" s="8">
        <v>8</v>
      </c>
      <c r="AK21" s="8" t="s">
        <v>681</v>
      </c>
      <c r="AL21" s="8" t="s">
        <v>682</v>
      </c>
      <c r="AM21" s="8">
        <v>7</v>
      </c>
      <c r="AN21" s="8" t="s">
        <v>683</v>
      </c>
      <c r="AO21" s="8" t="s">
        <v>684</v>
      </c>
      <c r="AP21" s="8">
        <v>9</v>
      </c>
      <c r="AQ21" s="8" t="s">
        <v>685</v>
      </c>
      <c r="AR21" s="8" t="s">
        <v>686</v>
      </c>
      <c r="AS21" s="8">
        <v>7</v>
      </c>
      <c r="AT21" s="8" t="s">
        <v>687</v>
      </c>
      <c r="AU21" s="8" t="s">
        <v>688</v>
      </c>
      <c r="AV21" s="8">
        <v>8</v>
      </c>
      <c r="AW21" s="8" t="s">
        <v>689</v>
      </c>
      <c r="AX21" s="8" t="s">
        <v>690</v>
      </c>
      <c r="AY21" s="8" t="s">
        <v>691</v>
      </c>
    </row>
    <row r="22" spans="1:52" ht="22.5" customHeight="1" x14ac:dyDescent="0.25">
      <c r="A22" s="7" t="s">
        <v>1121</v>
      </c>
      <c r="B22" s="8">
        <v>23</v>
      </c>
      <c r="C22" s="8" t="s">
        <v>1141</v>
      </c>
      <c r="D22" s="8">
        <v>6</v>
      </c>
      <c r="E22" s="8" t="s">
        <v>692</v>
      </c>
      <c r="F22" s="8" t="s">
        <v>693</v>
      </c>
      <c r="G22" s="8">
        <v>7</v>
      </c>
      <c r="H22" s="8" t="s">
        <v>694</v>
      </c>
      <c r="I22" s="8" t="s">
        <v>695</v>
      </c>
      <c r="J22" s="8">
        <v>7</v>
      </c>
      <c r="K22" s="8" t="s">
        <v>696</v>
      </c>
      <c r="L22" s="8" t="s">
        <v>697</v>
      </c>
      <c r="M22" s="8">
        <v>7</v>
      </c>
      <c r="N22" s="8" t="s">
        <v>698</v>
      </c>
      <c r="O22" s="8" t="s">
        <v>699</v>
      </c>
      <c r="P22" s="8">
        <v>7</v>
      </c>
      <c r="Q22" s="8" t="s">
        <v>700</v>
      </c>
      <c r="R22" s="8" t="s">
        <v>701</v>
      </c>
      <c r="S22" s="8">
        <v>8</v>
      </c>
      <c r="T22" s="8" t="s">
        <v>702</v>
      </c>
      <c r="U22" s="8" t="s">
        <v>703</v>
      </c>
      <c r="V22" s="8">
        <v>7</v>
      </c>
      <c r="W22" s="8" t="s">
        <v>704</v>
      </c>
      <c r="X22" s="8" t="s">
        <v>705</v>
      </c>
      <c r="Y22" s="8">
        <v>8</v>
      </c>
      <c r="Z22" s="8" t="s">
        <v>706</v>
      </c>
      <c r="AA22" s="8" t="s">
        <v>707</v>
      </c>
      <c r="AB22" s="8">
        <v>7</v>
      </c>
      <c r="AC22" s="8" t="s">
        <v>708</v>
      </c>
      <c r="AD22" s="8" t="s">
        <v>709</v>
      </c>
      <c r="AE22" s="8" t="s">
        <v>710</v>
      </c>
      <c r="AF22" s="8" t="s">
        <v>711</v>
      </c>
      <c r="AG22" s="8">
        <v>9</v>
      </c>
      <c r="AH22" s="8" t="s">
        <v>712</v>
      </c>
      <c r="AI22" s="8" t="s">
        <v>713</v>
      </c>
      <c r="AJ22" s="8">
        <v>9</v>
      </c>
      <c r="AK22" s="8" t="s">
        <v>714</v>
      </c>
      <c r="AL22" s="8" t="s">
        <v>715</v>
      </c>
      <c r="AM22" s="8">
        <v>7</v>
      </c>
      <c r="AN22" s="8" t="s">
        <v>716</v>
      </c>
      <c r="AO22" s="8" t="s">
        <v>717</v>
      </c>
      <c r="AP22" s="8">
        <v>9</v>
      </c>
      <c r="AQ22" s="8" t="s">
        <v>718</v>
      </c>
      <c r="AR22" s="8" t="s">
        <v>719</v>
      </c>
      <c r="AS22" s="8">
        <v>7</v>
      </c>
      <c r="AT22" s="8" t="s">
        <v>720</v>
      </c>
      <c r="AU22" s="8" t="s">
        <v>721</v>
      </c>
      <c r="AV22" s="8">
        <v>10</v>
      </c>
      <c r="AW22" s="8" t="s">
        <v>722</v>
      </c>
      <c r="AX22" s="8" t="s">
        <v>723</v>
      </c>
      <c r="AY22" s="8"/>
    </row>
    <row r="23" spans="1:52" ht="22.5" customHeight="1" x14ac:dyDescent="0.25">
      <c r="A23" s="7" t="s">
        <v>1121</v>
      </c>
      <c r="B23" s="8">
        <v>5</v>
      </c>
      <c r="C23" s="8" t="s">
        <v>724</v>
      </c>
      <c r="D23" s="8">
        <v>7</v>
      </c>
      <c r="E23" s="8" t="s">
        <v>725</v>
      </c>
      <c r="F23" s="8" t="s">
        <v>726</v>
      </c>
      <c r="G23" s="8">
        <v>5</v>
      </c>
      <c r="H23" s="8" t="s">
        <v>727</v>
      </c>
      <c r="I23" s="8" t="s">
        <v>728</v>
      </c>
      <c r="J23" s="8">
        <v>6</v>
      </c>
      <c r="K23" s="8" t="s">
        <v>729</v>
      </c>
      <c r="L23" s="8" t="s">
        <v>730</v>
      </c>
      <c r="M23" s="8">
        <v>8</v>
      </c>
      <c r="N23" s="8" t="s">
        <v>731</v>
      </c>
      <c r="O23" s="8" t="s">
        <v>732</v>
      </c>
      <c r="P23" s="8">
        <v>7</v>
      </c>
      <c r="Q23" s="8" t="s">
        <v>733</v>
      </c>
      <c r="R23" s="8" t="s">
        <v>734</v>
      </c>
      <c r="S23" s="8">
        <v>8</v>
      </c>
      <c r="T23" s="8" t="s">
        <v>735</v>
      </c>
      <c r="U23" s="8" t="s">
        <v>736</v>
      </c>
      <c r="V23" s="8">
        <v>6</v>
      </c>
      <c r="W23" s="8" t="s">
        <v>737</v>
      </c>
      <c r="X23" s="8" t="s">
        <v>738</v>
      </c>
      <c r="Y23" s="8">
        <v>8</v>
      </c>
      <c r="Z23" s="8" t="s">
        <v>739</v>
      </c>
      <c r="AA23" s="8" t="s">
        <v>740</v>
      </c>
      <c r="AB23" s="8">
        <v>8</v>
      </c>
      <c r="AC23" s="8" t="s">
        <v>741</v>
      </c>
      <c r="AD23" s="8" t="s">
        <v>742</v>
      </c>
      <c r="AE23" s="8" t="s">
        <v>743</v>
      </c>
      <c r="AF23" s="8" t="s">
        <v>744</v>
      </c>
      <c r="AG23" s="8">
        <v>6</v>
      </c>
      <c r="AH23" s="8" t="s">
        <v>745</v>
      </c>
      <c r="AI23" s="8" t="s">
        <v>746</v>
      </c>
      <c r="AJ23" s="8">
        <v>10</v>
      </c>
      <c r="AK23" s="8" t="s">
        <v>747</v>
      </c>
      <c r="AL23" s="8" t="s">
        <v>679</v>
      </c>
      <c r="AM23" s="8">
        <v>7</v>
      </c>
      <c r="AN23" s="8" t="s">
        <v>748</v>
      </c>
      <c r="AO23" s="8" t="s">
        <v>749</v>
      </c>
      <c r="AP23" s="8">
        <v>8</v>
      </c>
      <c r="AQ23" s="8" t="s">
        <v>748</v>
      </c>
      <c r="AR23" s="8" t="s">
        <v>750</v>
      </c>
      <c r="AS23" s="8">
        <v>8</v>
      </c>
      <c r="AT23" s="8" t="s">
        <v>751</v>
      </c>
      <c r="AU23" s="8" t="s">
        <v>752</v>
      </c>
      <c r="AV23" s="8">
        <v>9</v>
      </c>
      <c r="AW23" s="8" t="s">
        <v>753</v>
      </c>
      <c r="AX23" s="8" t="s">
        <v>754</v>
      </c>
      <c r="AY23" s="8" t="s">
        <v>755</v>
      </c>
    </row>
    <row r="24" spans="1:52" ht="22.5" customHeight="1" x14ac:dyDescent="0.25">
      <c r="A24" s="7" t="s">
        <v>1121</v>
      </c>
      <c r="B24" s="8">
        <v>7</v>
      </c>
      <c r="C24" s="8" t="s">
        <v>756</v>
      </c>
      <c r="D24" s="8">
        <v>6</v>
      </c>
      <c r="E24" s="8" t="s">
        <v>757</v>
      </c>
      <c r="F24" s="8" t="s">
        <v>758</v>
      </c>
      <c r="G24" s="8">
        <v>5</v>
      </c>
      <c r="H24" s="8" t="s">
        <v>759</v>
      </c>
      <c r="I24" s="8" t="s">
        <v>760</v>
      </c>
      <c r="J24" s="8">
        <v>5</v>
      </c>
      <c r="K24" s="8" t="s">
        <v>761</v>
      </c>
      <c r="L24" s="8" t="s">
        <v>762</v>
      </c>
      <c r="M24" s="8">
        <v>6</v>
      </c>
      <c r="N24" s="8" t="s">
        <v>763</v>
      </c>
      <c r="O24" s="8" t="s">
        <v>764</v>
      </c>
      <c r="P24" s="8">
        <v>8</v>
      </c>
      <c r="Q24" s="8" t="s">
        <v>765</v>
      </c>
      <c r="R24" s="8" t="s">
        <v>766</v>
      </c>
      <c r="S24" s="8">
        <v>6</v>
      </c>
      <c r="T24" s="8" t="s">
        <v>767</v>
      </c>
      <c r="U24" s="8" t="s">
        <v>768</v>
      </c>
      <c r="V24" s="8">
        <v>6</v>
      </c>
      <c r="W24" s="8" t="s">
        <v>769</v>
      </c>
      <c r="X24" s="8" t="s">
        <v>770</v>
      </c>
      <c r="Y24" s="8">
        <v>7</v>
      </c>
      <c r="Z24" s="8" t="s">
        <v>771</v>
      </c>
      <c r="AA24" s="8" t="s">
        <v>772</v>
      </c>
      <c r="AB24" s="8">
        <v>9</v>
      </c>
      <c r="AC24" s="8" t="s">
        <v>773</v>
      </c>
      <c r="AD24" s="8" t="s">
        <v>774</v>
      </c>
      <c r="AE24" s="8" t="s">
        <v>775</v>
      </c>
      <c r="AF24" s="8" t="s">
        <v>776</v>
      </c>
      <c r="AG24" s="8">
        <v>7</v>
      </c>
      <c r="AH24" s="8" t="s">
        <v>777</v>
      </c>
      <c r="AI24" s="8" t="s">
        <v>778</v>
      </c>
      <c r="AJ24" s="8">
        <v>6</v>
      </c>
      <c r="AK24" s="8" t="s">
        <v>779</v>
      </c>
      <c r="AL24" s="8" t="s">
        <v>780</v>
      </c>
      <c r="AM24" s="8">
        <v>5</v>
      </c>
      <c r="AN24" s="8" t="s">
        <v>781</v>
      </c>
      <c r="AO24" s="8" t="s">
        <v>782</v>
      </c>
      <c r="AP24" s="8">
        <v>7</v>
      </c>
      <c r="AQ24" s="8" t="s">
        <v>783</v>
      </c>
      <c r="AR24" s="8" t="s">
        <v>784</v>
      </c>
      <c r="AS24" s="8">
        <v>6</v>
      </c>
      <c r="AT24" s="8" t="s">
        <v>785</v>
      </c>
      <c r="AU24" s="8" t="s">
        <v>786</v>
      </c>
      <c r="AV24" s="8">
        <v>8</v>
      </c>
      <c r="AW24" s="8" t="s">
        <v>787</v>
      </c>
      <c r="AX24" s="8" t="s">
        <v>788</v>
      </c>
      <c r="AY24" s="8" t="s">
        <v>789</v>
      </c>
    </row>
    <row r="25" spans="1:52" ht="22.5" customHeight="1" x14ac:dyDescent="0.25">
      <c r="A25" s="7" t="s">
        <v>1121</v>
      </c>
      <c r="B25" s="8">
        <v>24</v>
      </c>
      <c r="C25" s="8" t="s">
        <v>790</v>
      </c>
      <c r="D25" s="8">
        <v>5</v>
      </c>
      <c r="E25" s="8" t="s">
        <v>791</v>
      </c>
      <c r="F25" s="8" t="s">
        <v>792</v>
      </c>
      <c r="G25" s="8">
        <v>4</v>
      </c>
      <c r="H25" s="8" t="s">
        <v>793</v>
      </c>
      <c r="I25" s="8" t="s">
        <v>794</v>
      </c>
      <c r="J25" s="8">
        <v>6</v>
      </c>
      <c r="K25" s="8" t="s">
        <v>795</v>
      </c>
      <c r="L25" s="8" t="s">
        <v>796</v>
      </c>
      <c r="M25" s="8">
        <v>8</v>
      </c>
      <c r="N25" s="8" t="s">
        <v>797</v>
      </c>
      <c r="O25" s="8" t="s">
        <v>798</v>
      </c>
      <c r="P25" s="8">
        <v>6</v>
      </c>
      <c r="Q25" s="8" t="s">
        <v>799</v>
      </c>
      <c r="R25" s="8" t="s">
        <v>800</v>
      </c>
      <c r="S25" s="8">
        <v>5</v>
      </c>
      <c r="T25" s="8" t="s">
        <v>801</v>
      </c>
      <c r="U25" s="8" t="s">
        <v>802</v>
      </c>
      <c r="V25" s="8">
        <v>6</v>
      </c>
      <c r="W25" s="8" t="s">
        <v>803</v>
      </c>
      <c r="X25" s="8" t="s">
        <v>804</v>
      </c>
      <c r="Y25" s="8">
        <v>6</v>
      </c>
      <c r="Z25" s="8" t="s">
        <v>805</v>
      </c>
      <c r="AA25" s="8" t="s">
        <v>806</v>
      </c>
      <c r="AB25" s="8">
        <v>9</v>
      </c>
      <c r="AC25" s="8" t="s">
        <v>807</v>
      </c>
      <c r="AD25" s="8" t="s">
        <v>808</v>
      </c>
      <c r="AE25" s="8" t="s">
        <v>809</v>
      </c>
      <c r="AF25" s="8" t="s">
        <v>810</v>
      </c>
      <c r="AG25" s="8">
        <v>9</v>
      </c>
      <c r="AH25" s="8" t="s">
        <v>811</v>
      </c>
      <c r="AI25" s="8" t="s">
        <v>812</v>
      </c>
      <c r="AJ25" s="8">
        <v>9</v>
      </c>
      <c r="AK25" s="8" t="s">
        <v>813</v>
      </c>
      <c r="AL25" s="8" t="s">
        <v>814</v>
      </c>
      <c r="AM25" s="8">
        <v>8</v>
      </c>
      <c r="AN25" s="8" t="s">
        <v>815</v>
      </c>
      <c r="AO25" s="8" t="s">
        <v>816</v>
      </c>
      <c r="AP25" s="8">
        <v>9</v>
      </c>
      <c r="AQ25" s="8" t="s">
        <v>817</v>
      </c>
      <c r="AR25" s="8" t="s">
        <v>818</v>
      </c>
      <c r="AS25" s="8">
        <v>8</v>
      </c>
      <c r="AT25" s="8" t="s">
        <v>819</v>
      </c>
      <c r="AU25" s="8" t="s">
        <v>820</v>
      </c>
      <c r="AV25" s="8">
        <v>10</v>
      </c>
      <c r="AW25" s="8" t="s">
        <v>821</v>
      </c>
      <c r="AX25" s="8" t="s">
        <v>822</v>
      </c>
      <c r="AY25" s="8" t="s">
        <v>823</v>
      </c>
    </row>
    <row r="26" spans="1:52" ht="22.5" customHeight="1" x14ac:dyDescent="0.25">
      <c r="A26" s="7" t="s">
        <v>1121</v>
      </c>
      <c r="B26" s="8">
        <v>2</v>
      </c>
      <c r="C26" s="8" t="s">
        <v>824</v>
      </c>
      <c r="D26" s="8">
        <v>7</v>
      </c>
      <c r="E26" s="8" t="s">
        <v>825</v>
      </c>
      <c r="F26" s="8" t="s">
        <v>826</v>
      </c>
      <c r="G26" s="8">
        <v>7</v>
      </c>
      <c r="H26" s="8" t="s">
        <v>827</v>
      </c>
      <c r="I26" s="8" t="s">
        <v>828</v>
      </c>
      <c r="J26" s="8">
        <v>6</v>
      </c>
      <c r="K26" s="8" t="s">
        <v>829</v>
      </c>
      <c r="L26" s="8" t="s">
        <v>830</v>
      </c>
      <c r="M26" s="8">
        <v>8</v>
      </c>
      <c r="N26" s="8" t="s">
        <v>831</v>
      </c>
      <c r="O26" s="8" t="s">
        <v>832</v>
      </c>
      <c r="P26" s="8">
        <v>7</v>
      </c>
      <c r="Q26" s="8" t="s">
        <v>833</v>
      </c>
      <c r="R26" s="8" t="s">
        <v>834</v>
      </c>
      <c r="S26" s="8">
        <v>7</v>
      </c>
      <c r="T26" s="8" t="s">
        <v>835</v>
      </c>
      <c r="U26" s="8" t="s">
        <v>836</v>
      </c>
      <c r="V26" s="8">
        <v>7</v>
      </c>
      <c r="W26" s="8" t="s">
        <v>837</v>
      </c>
      <c r="X26" s="8" t="s">
        <v>838</v>
      </c>
      <c r="Y26" s="8">
        <v>8</v>
      </c>
      <c r="Z26" s="8" t="s">
        <v>839</v>
      </c>
      <c r="AA26" s="8" t="s">
        <v>840</v>
      </c>
      <c r="AB26" s="8">
        <v>7</v>
      </c>
      <c r="AC26" s="8" t="s">
        <v>841</v>
      </c>
      <c r="AD26" s="8" t="s">
        <v>842</v>
      </c>
      <c r="AE26" s="8" t="s">
        <v>843</v>
      </c>
      <c r="AF26" s="8" t="s">
        <v>844</v>
      </c>
      <c r="AG26" s="8">
        <v>9</v>
      </c>
      <c r="AH26" s="8" t="s">
        <v>845</v>
      </c>
      <c r="AI26" s="8" t="s">
        <v>846</v>
      </c>
      <c r="AJ26" s="8">
        <v>10</v>
      </c>
      <c r="AK26" s="8" t="s">
        <v>847</v>
      </c>
      <c r="AL26" s="8" t="s">
        <v>848</v>
      </c>
      <c r="AM26" s="8">
        <v>6</v>
      </c>
      <c r="AN26" s="8" t="s">
        <v>849</v>
      </c>
      <c r="AO26" s="8" t="s">
        <v>850</v>
      </c>
      <c r="AP26" s="8">
        <v>7</v>
      </c>
      <c r="AQ26" s="8" t="s">
        <v>851</v>
      </c>
      <c r="AR26" s="8" t="s">
        <v>852</v>
      </c>
      <c r="AS26" s="8">
        <v>6</v>
      </c>
      <c r="AT26" s="8" t="s">
        <v>853</v>
      </c>
      <c r="AU26" s="8" t="s">
        <v>854</v>
      </c>
      <c r="AV26" s="8">
        <v>8</v>
      </c>
      <c r="AW26" s="8" t="s">
        <v>855</v>
      </c>
      <c r="AX26" s="8" t="s">
        <v>856</v>
      </c>
      <c r="AY26" s="8"/>
    </row>
    <row r="27" spans="1:52" ht="22.5" customHeight="1" x14ac:dyDescent="0.25">
      <c r="A27" s="7" t="s">
        <v>1121</v>
      </c>
      <c r="B27" s="8">
        <v>20</v>
      </c>
      <c r="C27" s="8" t="s">
        <v>1142</v>
      </c>
      <c r="D27" s="8">
        <v>6</v>
      </c>
      <c r="E27" s="8" t="s">
        <v>857</v>
      </c>
      <c r="F27" s="8" t="s">
        <v>858</v>
      </c>
      <c r="G27" s="8">
        <v>6</v>
      </c>
      <c r="H27" s="8" t="s">
        <v>859</v>
      </c>
      <c r="I27" s="8" t="s">
        <v>860</v>
      </c>
      <c r="J27" s="8">
        <v>6</v>
      </c>
      <c r="K27" s="8" t="s">
        <v>861</v>
      </c>
      <c r="L27" s="8" t="s">
        <v>862</v>
      </c>
      <c r="M27" s="8">
        <v>5</v>
      </c>
      <c r="N27" s="8" t="s">
        <v>863</v>
      </c>
      <c r="O27" s="8" t="s">
        <v>864</v>
      </c>
      <c r="P27" s="8">
        <v>5</v>
      </c>
      <c r="Q27" s="8" t="s">
        <v>865</v>
      </c>
      <c r="R27" s="8" t="s">
        <v>866</v>
      </c>
      <c r="S27" s="8">
        <v>5</v>
      </c>
      <c r="T27" s="8" t="s">
        <v>867</v>
      </c>
      <c r="U27" s="8" t="s">
        <v>868</v>
      </c>
      <c r="V27" s="8">
        <v>6</v>
      </c>
      <c r="W27" s="8" t="s">
        <v>869</v>
      </c>
      <c r="X27" s="8" t="s">
        <v>870</v>
      </c>
      <c r="Y27" s="8">
        <v>4</v>
      </c>
      <c r="Z27" s="8" t="s">
        <v>871</v>
      </c>
      <c r="AA27" s="8" t="s">
        <v>872</v>
      </c>
      <c r="AB27" s="8">
        <v>6</v>
      </c>
      <c r="AC27" s="8" t="s">
        <v>873</v>
      </c>
      <c r="AD27" s="8" t="s">
        <v>874</v>
      </c>
      <c r="AE27" s="8" t="s">
        <v>875</v>
      </c>
      <c r="AF27" s="8" t="s">
        <v>876</v>
      </c>
      <c r="AG27" s="8">
        <v>9</v>
      </c>
      <c r="AH27" s="8" t="s">
        <v>877</v>
      </c>
      <c r="AI27" s="8" t="s">
        <v>878</v>
      </c>
      <c r="AJ27" s="8">
        <v>9</v>
      </c>
      <c r="AK27" s="8" t="s">
        <v>879</v>
      </c>
      <c r="AL27" s="8" t="s">
        <v>880</v>
      </c>
      <c r="AM27" s="8">
        <v>9</v>
      </c>
      <c r="AN27" s="8" t="s">
        <v>881</v>
      </c>
      <c r="AO27" s="8" t="s">
        <v>882</v>
      </c>
      <c r="AP27" s="8">
        <v>9</v>
      </c>
      <c r="AQ27" s="8" t="s">
        <v>883</v>
      </c>
      <c r="AR27" s="8" t="s">
        <v>884</v>
      </c>
      <c r="AS27" s="8">
        <v>3</v>
      </c>
      <c r="AT27" s="8" t="s">
        <v>885</v>
      </c>
      <c r="AU27" s="8" t="s">
        <v>886</v>
      </c>
      <c r="AV27" s="8">
        <v>8</v>
      </c>
      <c r="AW27" s="8" t="s">
        <v>887</v>
      </c>
      <c r="AX27" s="8" t="s">
        <v>888</v>
      </c>
      <c r="AY27" s="8" t="s">
        <v>889</v>
      </c>
    </row>
    <row r="28" spans="1:52" ht="22.5" customHeight="1" x14ac:dyDescent="0.25">
      <c r="A28" s="7" t="s">
        <v>1121</v>
      </c>
      <c r="B28" s="8">
        <v>16</v>
      </c>
      <c r="C28" s="8" t="s">
        <v>890</v>
      </c>
      <c r="D28" s="8">
        <v>8</v>
      </c>
      <c r="E28" s="8" t="s">
        <v>891</v>
      </c>
      <c r="F28" s="8" t="s">
        <v>892</v>
      </c>
      <c r="G28" s="8">
        <v>7</v>
      </c>
      <c r="H28" s="8" t="s">
        <v>893</v>
      </c>
      <c r="I28" s="8" t="s">
        <v>894</v>
      </c>
      <c r="J28" s="8">
        <v>7</v>
      </c>
      <c r="K28" s="8" t="s">
        <v>895</v>
      </c>
      <c r="L28" s="8" t="s">
        <v>896</v>
      </c>
      <c r="M28" s="8">
        <v>8</v>
      </c>
      <c r="N28" s="8" t="s">
        <v>897</v>
      </c>
      <c r="O28" s="8" t="s">
        <v>898</v>
      </c>
      <c r="P28" s="8">
        <v>7</v>
      </c>
      <c r="Q28" s="8" t="s">
        <v>899</v>
      </c>
      <c r="R28" s="8" t="s">
        <v>900</v>
      </c>
      <c r="S28" s="8">
        <v>7</v>
      </c>
      <c r="T28" s="8" t="s">
        <v>901</v>
      </c>
      <c r="U28" s="8" t="s">
        <v>902</v>
      </c>
      <c r="V28" s="8">
        <v>8</v>
      </c>
      <c r="W28" s="8" t="s">
        <v>903</v>
      </c>
      <c r="X28" s="8" t="s">
        <v>904</v>
      </c>
      <c r="Y28" s="8">
        <v>7</v>
      </c>
      <c r="Z28" s="8" t="s">
        <v>905</v>
      </c>
      <c r="AA28" s="8" t="s">
        <v>673</v>
      </c>
      <c r="AB28" s="8">
        <v>8</v>
      </c>
      <c r="AC28" s="8" t="s">
        <v>906</v>
      </c>
      <c r="AD28" s="8" t="s">
        <v>907</v>
      </c>
      <c r="AE28" s="8" t="s">
        <v>908</v>
      </c>
      <c r="AF28" s="8" t="s">
        <v>909</v>
      </c>
      <c r="AG28" s="8">
        <v>9</v>
      </c>
      <c r="AH28" s="8" t="s">
        <v>910</v>
      </c>
      <c r="AI28" s="8" t="s">
        <v>911</v>
      </c>
      <c r="AJ28" s="8">
        <v>10</v>
      </c>
      <c r="AK28" s="8" t="s">
        <v>912</v>
      </c>
      <c r="AL28" s="8" t="s">
        <v>913</v>
      </c>
      <c r="AM28" s="8">
        <v>9</v>
      </c>
      <c r="AN28" s="8" t="s">
        <v>914</v>
      </c>
      <c r="AO28" s="8" t="s">
        <v>915</v>
      </c>
      <c r="AP28" s="8">
        <v>9</v>
      </c>
      <c r="AQ28" s="8" t="s">
        <v>914</v>
      </c>
      <c r="AR28" s="8" t="s">
        <v>916</v>
      </c>
      <c r="AS28" s="8">
        <v>8</v>
      </c>
      <c r="AT28" s="8" t="s">
        <v>917</v>
      </c>
      <c r="AU28" s="8" t="s">
        <v>918</v>
      </c>
      <c r="AV28" s="8">
        <v>9</v>
      </c>
      <c r="AW28" s="8" t="s">
        <v>919</v>
      </c>
      <c r="AX28" s="8" t="s">
        <v>920</v>
      </c>
      <c r="AY28" s="8"/>
    </row>
    <row r="29" spans="1:52" ht="22.5" customHeight="1" x14ac:dyDescent="0.25">
      <c r="A29" s="7" t="s">
        <v>1121</v>
      </c>
      <c r="B29" s="8">
        <v>13</v>
      </c>
      <c r="C29" s="8" t="s">
        <v>921</v>
      </c>
      <c r="D29" s="8">
        <v>2</v>
      </c>
      <c r="E29" s="8" t="s">
        <v>922</v>
      </c>
      <c r="F29" s="8" t="s">
        <v>923</v>
      </c>
      <c r="G29" s="8">
        <v>3</v>
      </c>
      <c r="H29" s="8" t="s">
        <v>924</v>
      </c>
      <c r="I29" s="8" t="s">
        <v>925</v>
      </c>
      <c r="J29" s="8">
        <v>4</v>
      </c>
      <c r="K29" s="8" t="s">
        <v>926</v>
      </c>
      <c r="L29" s="8" t="s">
        <v>927</v>
      </c>
      <c r="M29" s="8">
        <v>7</v>
      </c>
      <c r="N29" s="8" t="s">
        <v>928</v>
      </c>
      <c r="O29" s="8" t="s">
        <v>929</v>
      </c>
      <c r="P29" s="8">
        <v>5</v>
      </c>
      <c r="Q29" s="8" t="s">
        <v>930</v>
      </c>
      <c r="R29" s="8" t="s">
        <v>931</v>
      </c>
      <c r="S29" s="8">
        <v>7</v>
      </c>
      <c r="T29" s="8" t="s">
        <v>932</v>
      </c>
      <c r="U29" s="8" t="s">
        <v>933</v>
      </c>
      <c r="V29" s="8">
        <v>5</v>
      </c>
      <c r="W29" s="8" t="s">
        <v>934</v>
      </c>
      <c r="X29" s="8" t="s">
        <v>935</v>
      </c>
      <c r="Y29" s="8">
        <v>8</v>
      </c>
      <c r="Z29" s="8" t="s">
        <v>936</v>
      </c>
      <c r="AA29" s="8" t="s">
        <v>937</v>
      </c>
      <c r="AB29" s="8">
        <v>9</v>
      </c>
      <c r="AC29" s="8" t="s">
        <v>938</v>
      </c>
      <c r="AD29" s="8" t="s">
        <v>939</v>
      </c>
      <c r="AE29" s="8" t="s">
        <v>940</v>
      </c>
      <c r="AF29" s="8" t="s">
        <v>941</v>
      </c>
      <c r="AG29" s="8">
        <v>9</v>
      </c>
      <c r="AH29" s="8" t="s">
        <v>942</v>
      </c>
      <c r="AI29" s="8" t="s">
        <v>943</v>
      </c>
      <c r="AJ29" s="8">
        <v>9</v>
      </c>
      <c r="AK29" s="8" t="s">
        <v>944</v>
      </c>
      <c r="AL29" s="8" t="s">
        <v>945</v>
      </c>
      <c r="AM29" s="8">
        <v>8</v>
      </c>
      <c r="AN29" s="8" t="s">
        <v>946</v>
      </c>
      <c r="AO29" s="8" t="s">
        <v>947</v>
      </c>
      <c r="AP29" s="8">
        <v>9</v>
      </c>
      <c r="AQ29" s="8" t="s">
        <v>948</v>
      </c>
      <c r="AR29" s="8" t="s">
        <v>949</v>
      </c>
      <c r="AS29" s="8">
        <v>8</v>
      </c>
      <c r="AT29" s="8" t="s">
        <v>950</v>
      </c>
      <c r="AU29" s="8" t="s">
        <v>951</v>
      </c>
      <c r="AV29" s="8">
        <v>10</v>
      </c>
      <c r="AW29" s="8" t="s">
        <v>952</v>
      </c>
      <c r="AX29" s="8" t="s">
        <v>953</v>
      </c>
      <c r="AY29" s="8" t="s">
        <v>954</v>
      </c>
    </row>
    <row r="30" spans="1:52" ht="22.5" customHeight="1" x14ac:dyDescent="0.25">
      <c r="A30" s="7" t="s">
        <v>1121</v>
      </c>
      <c r="B30" s="8">
        <v>26</v>
      </c>
      <c r="C30" s="8" t="s">
        <v>955</v>
      </c>
      <c r="D30" s="8">
        <v>7</v>
      </c>
      <c r="E30" s="8" t="s">
        <v>956</v>
      </c>
      <c r="F30" s="8" t="s">
        <v>957</v>
      </c>
      <c r="G30" s="8">
        <v>6</v>
      </c>
      <c r="H30" s="8" t="s">
        <v>958</v>
      </c>
      <c r="I30" s="8" t="s">
        <v>959</v>
      </c>
      <c r="J30" s="8">
        <v>6</v>
      </c>
      <c r="K30" s="8" t="s">
        <v>960</v>
      </c>
      <c r="L30" s="8" t="s">
        <v>961</v>
      </c>
      <c r="M30" s="8">
        <v>8</v>
      </c>
      <c r="N30" s="8" t="s">
        <v>962</v>
      </c>
      <c r="O30" s="8" t="s">
        <v>963</v>
      </c>
      <c r="P30" s="8">
        <v>7</v>
      </c>
      <c r="Q30" s="8" t="s">
        <v>964</v>
      </c>
      <c r="R30" s="8" t="s">
        <v>965</v>
      </c>
      <c r="S30" s="8">
        <v>9</v>
      </c>
      <c r="T30" s="8" t="s">
        <v>966</v>
      </c>
      <c r="U30" s="8" t="s">
        <v>967</v>
      </c>
      <c r="V30" s="8">
        <v>5</v>
      </c>
      <c r="W30" s="8" t="s">
        <v>968</v>
      </c>
      <c r="X30" s="8" t="s">
        <v>969</v>
      </c>
      <c r="Y30" s="8">
        <v>6</v>
      </c>
      <c r="Z30" s="8" t="s">
        <v>970</v>
      </c>
      <c r="AA30" s="8" t="s">
        <v>971</v>
      </c>
      <c r="AB30" s="8">
        <v>8</v>
      </c>
      <c r="AC30" s="8" t="s">
        <v>972</v>
      </c>
      <c r="AD30" s="8" t="s">
        <v>973</v>
      </c>
      <c r="AE30" s="8" t="s">
        <v>974</v>
      </c>
      <c r="AF30" s="8" t="s">
        <v>975</v>
      </c>
      <c r="AG30" s="8">
        <v>9</v>
      </c>
      <c r="AH30" s="8" t="s">
        <v>976</v>
      </c>
      <c r="AI30" s="8" t="s">
        <v>977</v>
      </c>
      <c r="AJ30" s="8">
        <v>9</v>
      </c>
      <c r="AK30" s="8" t="s">
        <v>978</v>
      </c>
      <c r="AL30" s="8" t="s">
        <v>979</v>
      </c>
      <c r="AM30" s="8">
        <v>9</v>
      </c>
      <c r="AN30" s="8" t="s">
        <v>980</v>
      </c>
      <c r="AO30" s="8" t="s">
        <v>981</v>
      </c>
      <c r="AP30" s="8">
        <v>10</v>
      </c>
      <c r="AQ30" s="8" t="s">
        <v>982</v>
      </c>
      <c r="AR30" s="8" t="s">
        <v>983</v>
      </c>
      <c r="AS30" s="8">
        <v>6</v>
      </c>
      <c r="AT30" s="8" t="s">
        <v>984</v>
      </c>
      <c r="AU30" s="8" t="s">
        <v>985</v>
      </c>
      <c r="AV30" s="8">
        <v>10</v>
      </c>
      <c r="AW30" s="8" t="s">
        <v>986</v>
      </c>
      <c r="AX30" s="8" t="s">
        <v>987</v>
      </c>
      <c r="AY30" s="8" t="s">
        <v>988</v>
      </c>
    </row>
    <row r="31" spans="1:52" ht="22.5" customHeight="1" x14ac:dyDescent="0.25">
      <c r="A31" s="7" t="s">
        <v>1121</v>
      </c>
      <c r="B31" s="8">
        <v>19</v>
      </c>
      <c r="C31" s="8" t="s">
        <v>989</v>
      </c>
      <c r="D31" s="8">
        <v>7</v>
      </c>
      <c r="E31" s="8" t="s">
        <v>990</v>
      </c>
      <c r="F31" s="8" t="s">
        <v>991</v>
      </c>
      <c r="G31" s="8">
        <v>7</v>
      </c>
      <c r="H31" s="8" t="s">
        <v>992</v>
      </c>
      <c r="I31" s="8" t="s">
        <v>993</v>
      </c>
      <c r="J31" s="8">
        <v>5</v>
      </c>
      <c r="K31" s="8" t="s">
        <v>994</v>
      </c>
      <c r="L31" s="8" t="s">
        <v>995</v>
      </c>
      <c r="M31" s="8">
        <v>5</v>
      </c>
      <c r="N31" s="8" t="s">
        <v>996</v>
      </c>
      <c r="O31" s="8" t="s">
        <v>997</v>
      </c>
      <c r="P31" s="8">
        <v>7</v>
      </c>
      <c r="Q31" s="8" t="s">
        <v>998</v>
      </c>
      <c r="R31" s="8" t="s">
        <v>999</v>
      </c>
      <c r="S31" s="8">
        <v>6</v>
      </c>
      <c r="T31" s="8" t="s">
        <v>1000</v>
      </c>
      <c r="U31" s="8" t="s">
        <v>1001</v>
      </c>
      <c r="V31" s="8">
        <v>6</v>
      </c>
      <c r="W31" s="8" t="s">
        <v>1002</v>
      </c>
      <c r="X31" s="8" t="s">
        <v>1003</v>
      </c>
      <c r="Y31" s="8">
        <v>5</v>
      </c>
      <c r="Z31" s="8" t="s">
        <v>1004</v>
      </c>
      <c r="AA31" s="8" t="s">
        <v>1005</v>
      </c>
      <c r="AB31" s="8">
        <v>9</v>
      </c>
      <c r="AC31" s="8" t="s">
        <v>1006</v>
      </c>
      <c r="AD31" s="8" t="s">
        <v>1007</v>
      </c>
      <c r="AE31" s="8" t="s">
        <v>1008</v>
      </c>
      <c r="AF31" s="8" t="s">
        <v>1009</v>
      </c>
      <c r="AG31" s="8">
        <v>10</v>
      </c>
      <c r="AH31" s="8" t="s">
        <v>1010</v>
      </c>
      <c r="AI31" s="8" t="s">
        <v>1011</v>
      </c>
      <c r="AJ31" s="8">
        <v>10</v>
      </c>
      <c r="AK31" s="8" t="s">
        <v>1012</v>
      </c>
      <c r="AL31" s="8" t="s">
        <v>1013</v>
      </c>
      <c r="AM31" s="8">
        <v>9</v>
      </c>
      <c r="AN31" s="8" t="s">
        <v>1014</v>
      </c>
      <c r="AO31" s="8" t="s">
        <v>1015</v>
      </c>
      <c r="AP31" s="8">
        <v>10</v>
      </c>
      <c r="AQ31" s="8" t="s">
        <v>1014</v>
      </c>
      <c r="AR31" s="8" t="s">
        <v>1015</v>
      </c>
      <c r="AS31" s="8">
        <v>9</v>
      </c>
      <c r="AT31" s="8" t="s">
        <v>1016</v>
      </c>
      <c r="AU31" s="8" t="s">
        <v>1017</v>
      </c>
      <c r="AV31" s="8">
        <v>9</v>
      </c>
      <c r="AW31" s="8" t="s">
        <v>1018</v>
      </c>
      <c r="AX31" s="8" t="s">
        <v>1019</v>
      </c>
      <c r="AY31" s="8" t="s">
        <v>1020</v>
      </c>
    </row>
    <row r="32" spans="1:52" ht="22.5" customHeight="1" x14ac:dyDescent="0.25">
      <c r="A32" s="7" t="s">
        <v>1121</v>
      </c>
      <c r="B32" s="8">
        <v>14</v>
      </c>
      <c r="C32" s="8" t="s">
        <v>1143</v>
      </c>
      <c r="D32" s="8">
        <v>5</v>
      </c>
      <c r="E32" s="8" t="s">
        <v>1021</v>
      </c>
      <c r="F32" s="8" t="s">
        <v>1022</v>
      </c>
      <c r="G32" s="8">
        <v>6</v>
      </c>
      <c r="H32" s="8" t="s">
        <v>1023</v>
      </c>
      <c r="I32" s="8" t="s">
        <v>1024</v>
      </c>
      <c r="J32" s="8">
        <v>8</v>
      </c>
      <c r="K32" s="8" t="s">
        <v>1025</v>
      </c>
      <c r="L32" s="8" t="s">
        <v>1026</v>
      </c>
      <c r="M32" s="8">
        <v>6</v>
      </c>
      <c r="N32" s="8" t="s">
        <v>1027</v>
      </c>
      <c r="O32" s="8" t="s">
        <v>1028</v>
      </c>
      <c r="P32" s="8">
        <v>6</v>
      </c>
      <c r="Q32" s="8" t="s">
        <v>1029</v>
      </c>
      <c r="R32" s="8" t="s">
        <v>1030</v>
      </c>
      <c r="S32" s="8">
        <v>4</v>
      </c>
      <c r="T32" s="8" t="s">
        <v>1031</v>
      </c>
      <c r="U32" s="8" t="s">
        <v>1032</v>
      </c>
      <c r="V32" s="8">
        <v>8</v>
      </c>
      <c r="W32" s="8" t="s">
        <v>1033</v>
      </c>
      <c r="X32" s="8" t="s">
        <v>1034</v>
      </c>
      <c r="Y32" s="8">
        <v>4</v>
      </c>
      <c r="Z32" s="8" t="s">
        <v>1035</v>
      </c>
      <c r="AA32" s="8" t="s">
        <v>1036</v>
      </c>
      <c r="AB32" s="8">
        <v>7</v>
      </c>
      <c r="AC32" s="8" t="s">
        <v>1037</v>
      </c>
      <c r="AD32" s="8" t="s">
        <v>1038</v>
      </c>
      <c r="AE32" s="8" t="s">
        <v>1039</v>
      </c>
      <c r="AF32" s="8" t="s">
        <v>1040</v>
      </c>
      <c r="AG32" s="8">
        <v>8</v>
      </c>
      <c r="AH32" s="8" t="s">
        <v>1041</v>
      </c>
      <c r="AI32" s="8" t="s">
        <v>1042</v>
      </c>
      <c r="AJ32" s="8">
        <v>8</v>
      </c>
      <c r="AK32" s="8" t="s">
        <v>1043</v>
      </c>
      <c r="AL32" s="8" t="s">
        <v>1044</v>
      </c>
      <c r="AM32" s="8">
        <v>5</v>
      </c>
      <c r="AN32" s="8" t="s">
        <v>1045</v>
      </c>
      <c r="AO32" s="8" t="s">
        <v>1046</v>
      </c>
      <c r="AP32" s="8">
        <v>5</v>
      </c>
      <c r="AQ32" s="8" t="s">
        <v>1047</v>
      </c>
      <c r="AR32" s="8" t="s">
        <v>1048</v>
      </c>
      <c r="AS32" s="8">
        <v>8</v>
      </c>
      <c r="AT32" s="8" t="s">
        <v>1049</v>
      </c>
      <c r="AU32" s="8" t="s">
        <v>1050</v>
      </c>
      <c r="AV32" s="8">
        <v>9</v>
      </c>
      <c r="AW32" s="8" t="s">
        <v>1051</v>
      </c>
      <c r="AX32" s="8" t="s">
        <v>1052</v>
      </c>
      <c r="AY32" s="8" t="s">
        <v>1053</v>
      </c>
    </row>
    <row r="33" spans="1:51" ht="22.5" customHeight="1" x14ac:dyDescent="0.25">
      <c r="A33" s="7" t="s">
        <v>1121</v>
      </c>
      <c r="B33" s="8">
        <v>11</v>
      </c>
      <c r="C33" s="8" t="s">
        <v>1054</v>
      </c>
      <c r="D33" s="8">
        <v>7</v>
      </c>
      <c r="E33" s="8" t="s">
        <v>1055</v>
      </c>
      <c r="F33" s="8" t="s">
        <v>1056</v>
      </c>
      <c r="G33" s="8">
        <v>6</v>
      </c>
      <c r="H33" s="8" t="s">
        <v>1057</v>
      </c>
      <c r="I33" s="8" t="s">
        <v>1058</v>
      </c>
      <c r="J33" s="8">
        <v>5</v>
      </c>
      <c r="K33" s="8" t="s">
        <v>1059</v>
      </c>
      <c r="L33" s="8" t="s">
        <v>1060</v>
      </c>
      <c r="M33" s="8">
        <v>6</v>
      </c>
      <c r="N33" s="8" t="s">
        <v>1061</v>
      </c>
      <c r="O33" s="8" t="s">
        <v>1062</v>
      </c>
      <c r="P33" s="8">
        <v>7</v>
      </c>
      <c r="Q33" s="8" t="s">
        <v>1063</v>
      </c>
      <c r="R33" s="8" t="s">
        <v>1064</v>
      </c>
      <c r="S33" s="8">
        <v>6</v>
      </c>
      <c r="T33" s="8" t="s">
        <v>1065</v>
      </c>
      <c r="U33" s="8" t="s">
        <v>1066</v>
      </c>
      <c r="V33" s="8">
        <v>6</v>
      </c>
      <c r="W33" s="8" t="s">
        <v>1067</v>
      </c>
      <c r="X33" s="8" t="s">
        <v>1068</v>
      </c>
      <c r="Y33" s="8">
        <v>7</v>
      </c>
      <c r="Z33" s="8" t="s">
        <v>1069</v>
      </c>
      <c r="AA33" s="8" t="s">
        <v>1070</v>
      </c>
      <c r="AB33" s="8">
        <v>6</v>
      </c>
      <c r="AC33" s="8" t="s">
        <v>1071</v>
      </c>
      <c r="AD33" s="8" t="s">
        <v>1072</v>
      </c>
      <c r="AE33" s="8" t="s">
        <v>1073</v>
      </c>
      <c r="AF33" s="8" t="s">
        <v>1074</v>
      </c>
      <c r="AG33" s="8">
        <v>7</v>
      </c>
      <c r="AH33" s="8" t="s">
        <v>1075</v>
      </c>
      <c r="AI33" s="8" t="s">
        <v>1076</v>
      </c>
      <c r="AJ33" s="8">
        <v>8</v>
      </c>
      <c r="AK33" s="8" t="s">
        <v>1077</v>
      </c>
      <c r="AL33" s="8" t="s">
        <v>1078</v>
      </c>
      <c r="AM33" s="8">
        <v>8</v>
      </c>
      <c r="AN33" s="8" t="s">
        <v>1079</v>
      </c>
      <c r="AO33" s="8" t="s">
        <v>1080</v>
      </c>
      <c r="AP33" s="8">
        <v>9</v>
      </c>
      <c r="AQ33" s="8" t="s">
        <v>1081</v>
      </c>
      <c r="AR33" s="8" t="s">
        <v>1082</v>
      </c>
      <c r="AS33" s="8">
        <v>7</v>
      </c>
      <c r="AT33" s="8" t="s">
        <v>1083</v>
      </c>
      <c r="AU33" s="8" t="s">
        <v>1084</v>
      </c>
      <c r="AV33" s="8">
        <v>8</v>
      </c>
      <c r="AW33" s="8" t="s">
        <v>1085</v>
      </c>
      <c r="AX33" s="8" t="s">
        <v>1086</v>
      </c>
    </row>
    <row r="34" spans="1:51" ht="22.5" customHeight="1" thickBot="1" x14ac:dyDescent="0.3">
      <c r="A34" s="7" t="s">
        <v>1121</v>
      </c>
      <c r="B34" s="8">
        <v>19</v>
      </c>
      <c r="C34" s="8" t="s">
        <v>1087</v>
      </c>
      <c r="D34" s="8">
        <v>7</v>
      </c>
      <c r="E34" s="8" t="s">
        <v>1088</v>
      </c>
      <c r="F34" s="8" t="s">
        <v>1089</v>
      </c>
      <c r="G34" s="8">
        <v>8</v>
      </c>
      <c r="H34" s="8" t="s">
        <v>1090</v>
      </c>
      <c r="I34" s="8" t="s">
        <v>1091</v>
      </c>
      <c r="J34" s="8">
        <v>6</v>
      </c>
      <c r="K34" s="8" t="s">
        <v>1092</v>
      </c>
      <c r="L34" s="8" t="s">
        <v>1093</v>
      </c>
      <c r="M34" s="8">
        <v>9</v>
      </c>
      <c r="N34" s="8" t="s">
        <v>1094</v>
      </c>
      <c r="O34" s="8" t="s">
        <v>1095</v>
      </c>
      <c r="P34" s="8">
        <v>8</v>
      </c>
      <c r="Q34" s="8" t="s">
        <v>1096</v>
      </c>
      <c r="R34" s="8" t="s">
        <v>1097</v>
      </c>
      <c r="S34" s="8">
        <v>5</v>
      </c>
      <c r="T34" s="8" t="s">
        <v>1098</v>
      </c>
      <c r="U34" s="8" t="s">
        <v>1099</v>
      </c>
      <c r="V34" s="8">
        <v>7</v>
      </c>
      <c r="W34" s="8" t="s">
        <v>1100</v>
      </c>
      <c r="X34" s="8" t="s">
        <v>1101</v>
      </c>
      <c r="Y34" s="8">
        <v>7</v>
      </c>
      <c r="Z34" s="8" t="s">
        <v>1102</v>
      </c>
      <c r="AA34" s="8" t="s">
        <v>1103</v>
      </c>
      <c r="AB34" s="8">
        <v>9</v>
      </c>
      <c r="AC34" s="8" t="s">
        <v>1104</v>
      </c>
      <c r="AD34" s="8" t="s">
        <v>1105</v>
      </c>
      <c r="AE34" s="8" t="s">
        <v>1106</v>
      </c>
      <c r="AF34" s="8" t="s">
        <v>1107</v>
      </c>
      <c r="AG34" s="8">
        <v>8</v>
      </c>
      <c r="AH34" s="8" t="s">
        <v>1108</v>
      </c>
      <c r="AI34" s="8" t="s">
        <v>1109</v>
      </c>
      <c r="AJ34" s="8">
        <v>7</v>
      </c>
      <c r="AK34" s="8" t="s">
        <v>1110</v>
      </c>
      <c r="AL34" s="8" t="s">
        <v>1111</v>
      </c>
      <c r="AM34" s="8">
        <v>6</v>
      </c>
      <c r="AN34" s="8" t="s">
        <v>1112</v>
      </c>
      <c r="AO34" s="8" t="s">
        <v>1113</v>
      </c>
      <c r="AP34" s="8">
        <v>8</v>
      </c>
      <c r="AQ34" s="8" t="s">
        <v>1114</v>
      </c>
      <c r="AR34" s="8" t="s">
        <v>1115</v>
      </c>
      <c r="AS34" s="8">
        <v>5</v>
      </c>
      <c r="AT34" s="8" t="s">
        <v>1116</v>
      </c>
      <c r="AU34" s="8" t="s">
        <v>1117</v>
      </c>
      <c r="AV34" s="8">
        <v>10</v>
      </c>
      <c r="AW34" s="8" t="s">
        <v>1118</v>
      </c>
      <c r="AX34" s="8" t="s">
        <v>1119</v>
      </c>
      <c r="AY34" s="8" t="s">
        <v>1120</v>
      </c>
    </row>
    <row r="35" spans="1:51" ht="21.5" customHeight="1" thickBot="1" x14ac:dyDescent="0.3">
      <c r="A35" s="7" t="s">
        <v>1121</v>
      </c>
      <c r="B35" s="25">
        <v>15</v>
      </c>
      <c r="C35" s="13" t="s">
        <v>1235</v>
      </c>
      <c r="D35" s="14">
        <v>4</v>
      </c>
      <c r="E35" s="15" t="s">
        <v>1144</v>
      </c>
      <c r="F35" s="15" t="s">
        <v>1145</v>
      </c>
      <c r="G35" s="14">
        <v>5</v>
      </c>
      <c r="H35" s="15" t="s">
        <v>1146</v>
      </c>
      <c r="I35" s="15" t="s">
        <v>1147</v>
      </c>
      <c r="J35" s="14">
        <v>4</v>
      </c>
      <c r="K35" s="15" t="s">
        <v>1148</v>
      </c>
      <c r="L35" s="15" t="s">
        <v>1149</v>
      </c>
      <c r="M35" s="14">
        <v>5</v>
      </c>
      <c r="N35" s="15" t="s">
        <v>1150</v>
      </c>
      <c r="O35" s="15" t="s">
        <v>1151</v>
      </c>
      <c r="P35" s="14">
        <v>5</v>
      </c>
      <c r="Q35" s="15" t="s">
        <v>1152</v>
      </c>
      <c r="R35" s="15" t="s">
        <v>1153</v>
      </c>
      <c r="S35" s="14">
        <v>4</v>
      </c>
      <c r="T35" s="15" t="s">
        <v>1154</v>
      </c>
      <c r="U35" s="15" t="s">
        <v>1155</v>
      </c>
      <c r="V35" s="14">
        <v>4</v>
      </c>
      <c r="W35" s="15" t="s">
        <v>1156</v>
      </c>
      <c r="X35" s="15" t="s">
        <v>1157</v>
      </c>
      <c r="Y35" s="14">
        <v>3</v>
      </c>
      <c r="Z35" s="15" t="s">
        <v>1158</v>
      </c>
      <c r="AA35" s="15" t="s">
        <v>1159</v>
      </c>
      <c r="AB35" s="14">
        <v>5</v>
      </c>
      <c r="AC35" s="15" t="s">
        <v>1160</v>
      </c>
      <c r="AD35" s="15" t="s">
        <v>1161</v>
      </c>
      <c r="AE35" s="15" t="s">
        <v>1162</v>
      </c>
      <c r="AF35" s="15" t="s">
        <v>1163</v>
      </c>
      <c r="AG35" s="14">
        <v>7</v>
      </c>
      <c r="AH35" s="15" t="s">
        <v>1164</v>
      </c>
      <c r="AI35" s="15" t="s">
        <v>1165</v>
      </c>
      <c r="AJ35" s="14">
        <v>9</v>
      </c>
      <c r="AK35" s="15" t="s">
        <v>1166</v>
      </c>
      <c r="AL35" s="15" t="s">
        <v>1167</v>
      </c>
      <c r="AM35" s="14">
        <v>7</v>
      </c>
      <c r="AN35" s="15" t="s">
        <v>1168</v>
      </c>
      <c r="AO35" s="15" t="s">
        <v>1169</v>
      </c>
      <c r="AP35" s="14">
        <v>9</v>
      </c>
      <c r="AQ35" s="15" t="s">
        <v>1170</v>
      </c>
      <c r="AR35" s="15" t="s">
        <v>1171</v>
      </c>
      <c r="AS35" s="14">
        <v>5</v>
      </c>
      <c r="AT35" s="14">
        <v>9</v>
      </c>
      <c r="AU35" s="15" t="s">
        <v>1172</v>
      </c>
      <c r="AV35" s="15" t="s">
        <v>1173</v>
      </c>
      <c r="AW35" s="16" t="s">
        <v>1174</v>
      </c>
    </row>
    <row r="36" spans="1:51" ht="24" customHeight="1" thickBot="1" x14ac:dyDescent="0.3">
      <c r="A36" s="7" t="s">
        <v>1121</v>
      </c>
      <c r="B36" s="26">
        <v>34</v>
      </c>
      <c r="C36" s="17" t="s">
        <v>1175</v>
      </c>
      <c r="D36" s="18">
        <v>5</v>
      </c>
      <c r="E36" s="19" t="s">
        <v>1176</v>
      </c>
      <c r="F36" s="19" t="s">
        <v>1177</v>
      </c>
      <c r="G36" s="18">
        <v>5</v>
      </c>
      <c r="H36" s="19" t="s">
        <v>1178</v>
      </c>
      <c r="I36" s="19" t="s">
        <v>1179</v>
      </c>
      <c r="J36" s="18">
        <v>4</v>
      </c>
      <c r="K36" s="19" t="s">
        <v>1180</v>
      </c>
      <c r="L36" s="19" t="s">
        <v>1181</v>
      </c>
      <c r="M36" s="18">
        <v>5</v>
      </c>
      <c r="N36" s="19" t="s">
        <v>1182</v>
      </c>
      <c r="O36" s="19" t="s">
        <v>1183</v>
      </c>
      <c r="P36" s="18">
        <v>6</v>
      </c>
      <c r="Q36" s="19" t="s">
        <v>1184</v>
      </c>
      <c r="R36" s="19" t="s">
        <v>1185</v>
      </c>
      <c r="S36" s="18">
        <v>6</v>
      </c>
      <c r="T36" s="19" t="s">
        <v>1186</v>
      </c>
      <c r="U36" s="19" t="s">
        <v>1187</v>
      </c>
      <c r="V36" s="18">
        <v>5</v>
      </c>
      <c r="W36" s="19" t="s">
        <v>1188</v>
      </c>
      <c r="X36" s="19" t="s">
        <v>1189</v>
      </c>
      <c r="Y36" s="18">
        <v>5</v>
      </c>
      <c r="Z36" s="19" t="s">
        <v>1190</v>
      </c>
      <c r="AA36" s="19" t="s">
        <v>1191</v>
      </c>
      <c r="AB36" s="18">
        <v>5</v>
      </c>
      <c r="AC36" s="19" t="s">
        <v>1192</v>
      </c>
      <c r="AD36" s="19" t="s">
        <v>1193</v>
      </c>
      <c r="AE36" s="19" t="s">
        <v>1194</v>
      </c>
      <c r="AF36" s="19" t="s">
        <v>1195</v>
      </c>
      <c r="AG36" s="18">
        <v>10</v>
      </c>
      <c r="AH36" s="19" t="s">
        <v>1196</v>
      </c>
      <c r="AI36" s="19" t="s">
        <v>679</v>
      </c>
      <c r="AJ36" s="18">
        <v>10</v>
      </c>
      <c r="AK36" s="19" t="s">
        <v>1197</v>
      </c>
      <c r="AL36" s="19" t="s">
        <v>679</v>
      </c>
      <c r="AM36" s="18">
        <v>8</v>
      </c>
      <c r="AN36" s="19" t="s">
        <v>1198</v>
      </c>
      <c r="AO36" s="19" t="s">
        <v>1199</v>
      </c>
      <c r="AP36" s="18">
        <v>8</v>
      </c>
      <c r="AQ36" s="19" t="s">
        <v>1200</v>
      </c>
      <c r="AR36" s="19" t="s">
        <v>1201</v>
      </c>
      <c r="AS36" s="18">
        <v>7</v>
      </c>
      <c r="AT36" s="18">
        <v>10</v>
      </c>
      <c r="AU36" s="19" t="s">
        <v>1202</v>
      </c>
      <c r="AV36" s="19" t="s">
        <v>1203</v>
      </c>
      <c r="AW36" s="20"/>
    </row>
    <row r="37" spans="1:51" ht="22.5" customHeight="1" thickBot="1" x14ac:dyDescent="0.3">
      <c r="A37" s="7" t="s">
        <v>1121</v>
      </c>
      <c r="B37" s="26">
        <v>21</v>
      </c>
      <c r="C37" s="21" t="s">
        <v>1204</v>
      </c>
      <c r="D37" s="22">
        <v>6</v>
      </c>
      <c r="E37" s="23" t="s">
        <v>1205</v>
      </c>
      <c r="F37" s="23" t="s">
        <v>1206</v>
      </c>
      <c r="G37" s="22">
        <v>7</v>
      </c>
      <c r="H37" s="23" t="s">
        <v>1207</v>
      </c>
      <c r="I37" s="23" t="s">
        <v>1208</v>
      </c>
      <c r="J37" s="22">
        <v>8</v>
      </c>
      <c r="K37" s="23" t="s">
        <v>1209</v>
      </c>
      <c r="L37" s="23" t="s">
        <v>1210</v>
      </c>
      <c r="M37" s="22">
        <v>9</v>
      </c>
      <c r="N37" s="23" t="s">
        <v>1211</v>
      </c>
      <c r="O37" s="23" t="s">
        <v>1212</v>
      </c>
      <c r="P37" s="22">
        <v>7</v>
      </c>
      <c r="Q37" s="23" t="s">
        <v>1213</v>
      </c>
      <c r="R37" s="23" t="s">
        <v>1214</v>
      </c>
      <c r="S37" s="22">
        <v>5</v>
      </c>
      <c r="T37" s="23" t="s">
        <v>1215</v>
      </c>
      <c r="U37" s="23" t="s">
        <v>1216</v>
      </c>
      <c r="V37" s="22">
        <v>8</v>
      </c>
      <c r="W37" s="23" t="s">
        <v>1217</v>
      </c>
      <c r="X37" s="23" t="s">
        <v>1218</v>
      </c>
      <c r="Y37" s="22">
        <v>6</v>
      </c>
      <c r="Z37" s="23" t="s">
        <v>1219</v>
      </c>
      <c r="AA37" s="23" t="s">
        <v>1220</v>
      </c>
      <c r="AB37" s="22">
        <v>9</v>
      </c>
      <c r="AC37" s="23" t="s">
        <v>1221</v>
      </c>
      <c r="AD37" s="23" t="s">
        <v>1222</v>
      </c>
      <c r="AE37" s="23" t="s">
        <v>1223</v>
      </c>
      <c r="AF37" s="23" t="s">
        <v>1224</v>
      </c>
      <c r="AG37" s="22">
        <v>8</v>
      </c>
      <c r="AH37" s="23" t="s">
        <v>1225</v>
      </c>
      <c r="AI37" s="23" t="s">
        <v>1226</v>
      </c>
      <c r="AJ37" s="22">
        <v>8</v>
      </c>
      <c r="AK37" s="23" t="s">
        <v>1227</v>
      </c>
      <c r="AL37" s="23" t="s">
        <v>1228</v>
      </c>
      <c r="AM37" s="22">
        <v>8</v>
      </c>
      <c r="AN37" s="23" t="s">
        <v>1229</v>
      </c>
      <c r="AO37" s="23" t="s">
        <v>1230</v>
      </c>
      <c r="AP37" s="22">
        <v>8</v>
      </c>
      <c r="AQ37" s="23" t="s">
        <v>1231</v>
      </c>
      <c r="AR37" s="23" t="s">
        <v>1232</v>
      </c>
      <c r="AS37" s="22">
        <v>6</v>
      </c>
      <c r="AT37" s="22">
        <v>9</v>
      </c>
      <c r="AU37" s="23" t="s">
        <v>1233</v>
      </c>
      <c r="AV37" s="23" t="s">
        <v>1234</v>
      </c>
      <c r="AW37" s="2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Sdhl player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Mikko Kuikka</cp:lastModifiedBy>
  <dcterms:modified xsi:type="dcterms:W3CDTF">2026-08-20T10:12:50Z</dcterms:modified>
</cp:coreProperties>
</file>